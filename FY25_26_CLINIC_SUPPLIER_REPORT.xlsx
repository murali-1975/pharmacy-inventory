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3ee60062f9526f/Documents/"/>
    </mc:Choice>
  </mc:AlternateContent>
  <xr:revisionPtr revIDLastSave="0" documentId="8_{25E05F91-5411-45DD-B870-D497F748C10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Report" sheetId="6" r:id="rId1"/>
    <sheet name="Invoice - Payment Details" sheetId="1" r:id="rId2"/>
    <sheet name="Supplier Master" sheetId="2" r:id="rId3"/>
    <sheet name="Supplier Bank Details" sheetId="5" r:id="rId4"/>
    <sheet name="Valdiation Sheet" sheetId="4" r:id="rId5"/>
  </sheets>
  <externalReferences>
    <externalReference r:id="rId6"/>
  </externalReferences>
  <definedNames>
    <definedName name="_xlnm._FilterDatabase" localSheetId="3" hidden="1">'Supplier Bank Details'!$A$1:$G$1</definedName>
    <definedName name="_xlnm._FilterDatabase" localSheetId="2" hidden="1">'Supplier Master'!$A$1:$F$32</definedName>
    <definedName name="_xlnm._FilterDatabase" localSheetId="1" hidden="1">'Invoice - Payment Details'!$A$1:$J$207</definedName>
    <definedName name="NativeTimeline_Date">#N/A</definedName>
    <definedName name="SUPPLIER_MASTER">'Supplier Bank Details'!$A$1:$F$99</definedName>
    <definedName name="SUPPLIER_PAYMENT">'Invoice - Payment Details'!$A$1:$J$707</definedName>
    <definedName name="VENDOR_MASTER">'[1]Vendor List Formatted'!$B$1:$G$57</definedName>
    <definedName name="VENDOR_MASTER_LATEST">'Supplier Master'!$B$1:$F$56</definedName>
    <definedName name="VENDOR_MASTER_NEW">'Supplier Master'!$F$1:$F$50</definedName>
  </definedNames>
  <calcPr calcId="191028"/>
  <pivotCaches>
    <pivotCache cacheId="928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5" i="1" l="1"/>
  <c r="F273" i="1"/>
  <c r="F274" i="1" s="1"/>
  <c r="F271" i="1"/>
  <c r="F272" i="1" s="1"/>
  <c r="G46" i="2"/>
  <c r="F46" i="2"/>
  <c r="E46" i="2"/>
  <c r="F36" i="2"/>
  <c r="G40" i="2"/>
  <c r="F40" i="2"/>
  <c r="I14" i="4"/>
  <c r="I15" i="4"/>
  <c r="D12" i="4"/>
  <c r="H12" i="4" s="1"/>
  <c r="D13" i="4"/>
  <c r="H13" i="4" s="1"/>
  <c r="D14" i="4"/>
  <c r="H14" i="4" s="1"/>
  <c r="D15" i="4"/>
  <c r="H15" i="4" s="1"/>
  <c r="I13" i="4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I12" i="4"/>
  <c r="L19" i="4"/>
  <c r="F41" i="2"/>
  <c r="F39" i="2"/>
  <c r="F37" i="2"/>
  <c r="F28" i="2"/>
  <c r="D2" i="4"/>
  <c r="H2" i="4" s="1"/>
  <c r="D3" i="4"/>
  <c r="D4" i="4"/>
  <c r="H4" i="4" s="1"/>
  <c r="D5" i="4"/>
  <c r="H5" i="4" s="1"/>
  <c r="D6" i="4"/>
  <c r="D7" i="4"/>
  <c r="H7" i="4" s="1"/>
  <c r="D8" i="4"/>
  <c r="H8" i="4" s="1"/>
  <c r="D9" i="4"/>
  <c r="H9" i="4" s="1"/>
  <c r="D10" i="4"/>
  <c r="H10" i="4" s="1"/>
  <c r="D11" i="4"/>
  <c r="E30" i="2"/>
  <c r="F32" i="2"/>
  <c r="G45" i="2"/>
  <c r="F45" i="2"/>
  <c r="E45" i="2"/>
  <c r="E42" i="2"/>
  <c r="G44" i="2"/>
  <c r="E44" i="2"/>
  <c r="F44" i="2"/>
  <c r="H3" i="4"/>
  <c r="H6" i="4"/>
  <c r="H11" i="4"/>
  <c r="G3" i="2"/>
  <c r="G4" i="2"/>
  <c r="G5" i="2"/>
  <c r="G6" i="2"/>
  <c r="G7" i="2"/>
  <c r="G39" i="2"/>
  <c r="G8" i="2"/>
  <c r="G9" i="2"/>
  <c r="G10" i="2"/>
  <c r="G11" i="2"/>
  <c r="G12" i="2"/>
  <c r="G13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41" i="2"/>
  <c r="G42" i="2"/>
  <c r="G32" i="2"/>
  <c r="G43" i="2"/>
  <c r="G33" i="2"/>
  <c r="G34" i="2"/>
  <c r="G35" i="2"/>
  <c r="G36" i="2"/>
  <c r="G37" i="2"/>
  <c r="G2" i="2"/>
  <c r="F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9" i="2"/>
  <c r="F30" i="2"/>
  <c r="F31" i="2"/>
  <c r="F42" i="2"/>
  <c r="F43" i="2"/>
  <c r="F33" i="2"/>
  <c r="F34" i="2"/>
  <c r="F35" i="2"/>
  <c r="E3" i="2"/>
  <c r="E4" i="2"/>
  <c r="E5" i="2"/>
  <c r="E6" i="2"/>
  <c r="E39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1" i="2"/>
  <c r="E41" i="2"/>
  <c r="E32" i="2"/>
  <c r="E43" i="2"/>
  <c r="E33" i="2"/>
  <c r="E34" i="2"/>
  <c r="E35" i="2"/>
  <c r="E37" i="2"/>
  <c r="F2" i="2"/>
  <c r="E2" i="2"/>
  <c r="I3" i="4"/>
  <c r="I4" i="4"/>
  <c r="I5" i="4"/>
  <c r="I6" i="4"/>
  <c r="I7" i="4"/>
  <c r="I8" i="4"/>
  <c r="I9" i="4"/>
  <c r="I10" i="4"/>
  <c r="I11" i="4"/>
  <c r="I2" i="4"/>
  <c r="F41" i="1" l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l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</calcChain>
</file>

<file path=xl/sharedStrings.xml><?xml version="1.0" encoding="utf-8"?>
<sst xmlns="http://schemas.openxmlformats.org/spreadsheetml/2006/main" count="1372" uniqueCount="555">
  <si>
    <t>Supplier</t>
  </si>
  <si>
    <t>Sum of Credit</t>
  </si>
  <si>
    <t>Sum of Debit</t>
  </si>
  <si>
    <t>Vaccine Paradise</t>
  </si>
  <si>
    <t xml:space="preserve">Sri Saravana </t>
  </si>
  <si>
    <t>Sri Kumaran Pharma</t>
  </si>
  <si>
    <t>S. R . Agency</t>
  </si>
  <si>
    <t>Moral Pharma</t>
  </si>
  <si>
    <t>Medigreen Surgicals</t>
  </si>
  <si>
    <t>Krishco Medical</t>
  </si>
  <si>
    <t>Kanagavalli Pharma</t>
  </si>
  <si>
    <t>Jaya Distributors</t>
  </si>
  <si>
    <t>Ambal Press</t>
  </si>
  <si>
    <t>Grand Total</t>
  </si>
  <si>
    <t xml:space="preserve"> </t>
  </si>
  <si>
    <t>Date</t>
  </si>
  <si>
    <t>Invoice Number</t>
  </si>
  <si>
    <t>Credit</t>
  </si>
  <si>
    <t>Debit</t>
  </si>
  <si>
    <t>Balance</t>
  </si>
  <si>
    <t>Payment Type</t>
  </si>
  <si>
    <t>Payment Date</t>
  </si>
  <si>
    <t>Payment Reference</t>
  </si>
  <si>
    <t xml:space="preserve">Remarks </t>
  </si>
  <si>
    <t>VIS 107</t>
  </si>
  <si>
    <t>Bank Transfer</t>
  </si>
  <si>
    <t>MMT/IMPS/512417140162</t>
  </si>
  <si>
    <t>MMT/IMPS/512417140130</t>
  </si>
  <si>
    <t>D010000 1/1</t>
  </si>
  <si>
    <t>MMT/IMPS/512417139630</t>
  </si>
  <si>
    <t>SI /00211/2025-26</t>
  </si>
  <si>
    <t>MMT/IMPS/512417140151</t>
  </si>
  <si>
    <t>MMT/IMPS/512417139735</t>
  </si>
  <si>
    <t>Pharma Trek</t>
  </si>
  <si>
    <t>PTOO49</t>
  </si>
  <si>
    <t>MMT/IMPS/512417140103</t>
  </si>
  <si>
    <t>D01000059 1/1</t>
  </si>
  <si>
    <t>25-26D73 1/1</t>
  </si>
  <si>
    <t>MMT/IMPS/512417139518</t>
  </si>
  <si>
    <t>25-26D01000936</t>
  </si>
  <si>
    <t>MMT/IMPS/512417139693</t>
  </si>
  <si>
    <t>25-26D01000953</t>
  </si>
  <si>
    <t>Sundaram Agencies</t>
  </si>
  <si>
    <t>MMT/IMPS/512417140021</t>
  </si>
  <si>
    <t>25-26D01000845 1/1</t>
  </si>
  <si>
    <t>MMT/IMPS/512417139597</t>
  </si>
  <si>
    <t>25-26D657 1/1</t>
  </si>
  <si>
    <t>Sriram Pharma</t>
  </si>
  <si>
    <t>SA 000764</t>
  </si>
  <si>
    <t>MMT/IMPS/512417140044</t>
  </si>
  <si>
    <t>25-26D01001629</t>
  </si>
  <si>
    <t xml:space="preserve">DOS Agency </t>
  </si>
  <si>
    <t>DO1000446 1/1</t>
  </si>
  <si>
    <t>MMT/IMPS/512417139713</t>
  </si>
  <si>
    <t>25-26D1015 1/1</t>
  </si>
  <si>
    <t>VIS 1005</t>
  </si>
  <si>
    <t>Pranavam Health Care</t>
  </si>
  <si>
    <t>INI56/25-26</t>
  </si>
  <si>
    <t>MMT/IMPS/512417140083</t>
  </si>
  <si>
    <t>25-26D01001839</t>
  </si>
  <si>
    <t>25-26D03001755 1/1</t>
  </si>
  <si>
    <t>MMT/IMPS/512417140055</t>
  </si>
  <si>
    <t>25-26D03001803 1/1</t>
  </si>
  <si>
    <t>25-26D1493 1/1</t>
  </si>
  <si>
    <t>D01000703 1/1</t>
  </si>
  <si>
    <t>VIS 1509</t>
  </si>
  <si>
    <t>25-26 D01002466</t>
  </si>
  <si>
    <t>D01000276 1/1</t>
  </si>
  <si>
    <t>MMT/IMPS/516106799969</t>
  </si>
  <si>
    <t>S.S Agencies</t>
  </si>
  <si>
    <t>SS/0246/25-26</t>
  </si>
  <si>
    <t>MMT/IMPS/516607439982</t>
  </si>
  <si>
    <t>SS/0247/25-26</t>
  </si>
  <si>
    <t>VIS 1760</t>
  </si>
  <si>
    <t>MMT/IMPS/516106799523</t>
  </si>
  <si>
    <t>D01000315 1/1</t>
  </si>
  <si>
    <t>MMT/IMPS/516106799477</t>
  </si>
  <si>
    <t>MMT/IMPS/516106799515</t>
  </si>
  <si>
    <t>25-26D01003630</t>
  </si>
  <si>
    <t>MMT/IMPS/516106799524</t>
  </si>
  <si>
    <t>VIS 2241</t>
  </si>
  <si>
    <t>D01000404 1/1</t>
  </si>
  <si>
    <t>25-26D2259 1/1</t>
  </si>
  <si>
    <t>MMT/IMPS/516106799474</t>
  </si>
  <si>
    <t>MMT/IMPS/516106799532</t>
  </si>
  <si>
    <t>D01000788 1/1</t>
  </si>
  <si>
    <t>MMT/IMPS/516106799498</t>
  </si>
  <si>
    <t>VIS 2456</t>
  </si>
  <si>
    <t>25-26 D2436 1/1</t>
  </si>
  <si>
    <t>D01000458 1/1</t>
  </si>
  <si>
    <t>25-26D01004057</t>
  </si>
  <si>
    <t>Medzone Pharma</t>
  </si>
  <si>
    <t>MMT/IMPS/516106799510</t>
  </si>
  <si>
    <t>25-26D03003831 1/1</t>
  </si>
  <si>
    <t>MMT/IMPS/516106799493</t>
  </si>
  <si>
    <t>VIS 2885</t>
  </si>
  <si>
    <t>SA 002726</t>
  </si>
  <si>
    <t>MMT/IMPS/516106799955</t>
  </si>
  <si>
    <t>25-26D01004618</t>
  </si>
  <si>
    <t>SA 002834</t>
  </si>
  <si>
    <t>SI/02158/2025-26</t>
  </si>
  <si>
    <t>MMT/IMPS/519106336645</t>
  </si>
  <si>
    <t>MMT/IMPS/519106336629</t>
  </si>
  <si>
    <t>MMT/IMPS/519106337232</t>
  </si>
  <si>
    <t>VIS 3184</t>
  </si>
  <si>
    <t>MMT/IMPS/519106336649</t>
  </si>
  <si>
    <t>VIS 3626</t>
  </si>
  <si>
    <t>25-26D01005665</t>
  </si>
  <si>
    <t>MMT/IMPS/51906336657</t>
  </si>
  <si>
    <t>O01001112</t>
  </si>
  <si>
    <t>MMT/IMPS/519106337186</t>
  </si>
  <si>
    <t>25-26D3673 1/1</t>
  </si>
  <si>
    <t>MMT/IMPS/519106336620</t>
  </si>
  <si>
    <t>D01000725 1/1</t>
  </si>
  <si>
    <t>MMT/IMPS/51910637205</t>
  </si>
  <si>
    <t>2047680346</t>
  </si>
  <si>
    <t>25-26D01006423</t>
  </si>
  <si>
    <t>O01001302</t>
  </si>
  <si>
    <t>D01000744 1/1</t>
  </si>
  <si>
    <t>VIS 4473</t>
  </si>
  <si>
    <t>VIS 4479</t>
  </si>
  <si>
    <t>25-26D01006921</t>
  </si>
  <si>
    <t>25-26D03006442 1/1</t>
  </si>
  <si>
    <t>MMT/IMPS/519106336624</t>
  </si>
  <si>
    <t>VIS 4534</t>
  </si>
  <si>
    <t>D01000856 1/1</t>
  </si>
  <si>
    <t>SI/03400/2025-26</t>
  </si>
  <si>
    <t>VIS 4897</t>
  </si>
  <si>
    <t>25-26D01008178</t>
  </si>
  <si>
    <t>MMT/IMPS/522506453356</t>
  </si>
  <si>
    <t>D01002308</t>
  </si>
  <si>
    <t>MMT/IMPS/522506452370</t>
  </si>
  <si>
    <t>VIS5124</t>
  </si>
  <si>
    <t>MMT/IMPS/522506453347</t>
  </si>
  <si>
    <t>D01002391 1/1</t>
  </si>
  <si>
    <t>MMT/IMPS/522506452371</t>
  </si>
  <si>
    <t>VIS 5580</t>
  </si>
  <si>
    <t>D01001079 1/1</t>
  </si>
  <si>
    <t>MMT/IMPS/522506452360</t>
  </si>
  <si>
    <t>D01001083 1/1</t>
  </si>
  <si>
    <t>25-26D03008208 1/1</t>
  </si>
  <si>
    <t>MMT/IMPS/522506452351</t>
  </si>
  <si>
    <t>25-26D5936 1/1</t>
  </si>
  <si>
    <t>MMT/IMPS/522506453324</t>
  </si>
  <si>
    <t>25-26D01008958</t>
  </si>
  <si>
    <t>VIS 6143</t>
  </si>
  <si>
    <t>VIS 5990</t>
  </si>
  <si>
    <t>D01002725 1/1</t>
  </si>
  <si>
    <t>D01002117 1/1</t>
  </si>
  <si>
    <t>MMT/IMPS/522506453335</t>
  </si>
  <si>
    <t>25-26D01009556</t>
  </si>
  <si>
    <t>D01001161</t>
  </si>
  <si>
    <t>VIS 6432</t>
  </si>
  <si>
    <t>Gpay</t>
  </si>
  <si>
    <t>25-26 D01010529</t>
  </si>
  <si>
    <t>MMT/IMPS/525017208721</t>
  </si>
  <si>
    <t>SA 006617</t>
  </si>
  <si>
    <t>MMT/IMPS/525017208585</t>
  </si>
  <si>
    <t>VIS 6993</t>
  </si>
  <si>
    <t>MMT/IMPS/525017208703</t>
  </si>
  <si>
    <t>D01001314</t>
  </si>
  <si>
    <t>MMT/IMPS/600417598247</t>
  </si>
  <si>
    <t>VIS 7447</t>
  </si>
  <si>
    <t>25-26D01011327</t>
  </si>
  <si>
    <t>MMT/IMPS/525017209406</t>
  </si>
  <si>
    <t>D01002591 1/1</t>
  </si>
  <si>
    <t>MMT/IMPS/525017208603</t>
  </si>
  <si>
    <t>25-26D01011676</t>
  </si>
  <si>
    <t>D01001410 1/1</t>
  </si>
  <si>
    <t>MMT/IMPS/525017208618</t>
  </si>
  <si>
    <t>D01001431 1/1</t>
  </si>
  <si>
    <t>25-26D8148 1/1</t>
  </si>
  <si>
    <t>MMT/IMPS/525017209191</t>
  </si>
  <si>
    <t>D01001453 1/1</t>
  </si>
  <si>
    <t>D01001463 1/1</t>
  </si>
  <si>
    <t>SI/05963/2025-26</t>
  </si>
  <si>
    <t>MMT/IMPS/525017209356</t>
  </si>
  <si>
    <t>SA 008008</t>
  </si>
  <si>
    <t>MMT/IMPS/528106274171</t>
  </si>
  <si>
    <t>MMT/IMPS/528106274262</t>
  </si>
  <si>
    <t>25-26D01012748</t>
  </si>
  <si>
    <t>MMT/IMPS/528106273712</t>
  </si>
  <si>
    <t>D01003653 1/1</t>
  </si>
  <si>
    <t>MMT/IMPS/528106274256</t>
  </si>
  <si>
    <t>25-26D01013061</t>
  </si>
  <si>
    <t>25-26D8925 1/1</t>
  </si>
  <si>
    <t>MMT/IMPS/528106273607</t>
  </si>
  <si>
    <t>25-26D01013373</t>
  </si>
  <si>
    <t>25-26D9177 1/1</t>
  </si>
  <si>
    <t>MMT/IMPS/528106274192</t>
  </si>
  <si>
    <t>SA 008521</t>
  </si>
  <si>
    <t>MMT/IMPS/528106274210</t>
  </si>
  <si>
    <t>25-26D01013611</t>
  </si>
  <si>
    <t>25-26D01014011</t>
  </si>
  <si>
    <t>SA 009064</t>
  </si>
  <si>
    <t>D01001672</t>
  </si>
  <si>
    <t>MMT/IMPS528106273646</t>
  </si>
  <si>
    <t>VIS 9774</t>
  </si>
  <si>
    <t>MMT/IMPS/528106274222</t>
  </si>
  <si>
    <t>VIS 7587</t>
  </si>
  <si>
    <t>25-26D03013133 1/1</t>
  </si>
  <si>
    <t>MMT/IMPS/528106273616</t>
  </si>
  <si>
    <t>VIS 10030</t>
  </si>
  <si>
    <t>Jaya Maruthi Offset</t>
  </si>
  <si>
    <t>sI/07013/2025-26</t>
  </si>
  <si>
    <t>MMT/IMPS/528106273681</t>
  </si>
  <si>
    <t>MMT/IMPS528106274206</t>
  </si>
  <si>
    <t>25-26D01015004</t>
  </si>
  <si>
    <t>VIS 10370</t>
  </si>
  <si>
    <t>D01003475</t>
  </si>
  <si>
    <t>MMT/IMPS/528106274175</t>
  </si>
  <si>
    <t>VIS 10398</t>
  </si>
  <si>
    <t>MMT/IMPS/531519899803</t>
  </si>
  <si>
    <t>D01001793 1/1</t>
  </si>
  <si>
    <t>MMT/IMPS/531519899622</t>
  </si>
  <si>
    <t>SI/07210/2025-26</t>
  </si>
  <si>
    <t>MMT/IMPS/531519898254</t>
  </si>
  <si>
    <t>25-26d01015588</t>
  </si>
  <si>
    <t>MMT/IMPS/531519899867</t>
  </si>
  <si>
    <t>D01001849 1/1</t>
  </si>
  <si>
    <t>VIS 10801</t>
  </si>
  <si>
    <t>VIS 10802</t>
  </si>
  <si>
    <t>25-26D03014327</t>
  </si>
  <si>
    <t>MMT/IMPS/531519898181</t>
  </si>
  <si>
    <t>VIS 11098</t>
  </si>
  <si>
    <t>25-26D01016142</t>
  </si>
  <si>
    <t>25-26D01016442</t>
  </si>
  <si>
    <t>MMT/IMPS/531519899902</t>
  </si>
  <si>
    <t>SA 010675</t>
  </si>
  <si>
    <t>MMT/IMPS/531519898172</t>
  </si>
  <si>
    <t>O01003272</t>
  </si>
  <si>
    <t>MMT/IMPS/531519899493</t>
  </si>
  <si>
    <t>25-26D03015228</t>
  </si>
  <si>
    <t>VIS 11605</t>
  </si>
  <si>
    <t>SI/08044/2025-26</t>
  </si>
  <si>
    <t>VIS 11640</t>
  </si>
  <si>
    <t>VIS 11742</t>
  </si>
  <si>
    <t>VIS 11741</t>
  </si>
  <si>
    <t>D01002016 1/1</t>
  </si>
  <si>
    <t>VIS 11837</t>
  </si>
  <si>
    <t>D01004986 1/1</t>
  </si>
  <si>
    <t>MMT/IMPS/531519898276</t>
  </si>
  <si>
    <t>25-26D01017490</t>
  </si>
  <si>
    <t>SA 011273</t>
  </si>
  <si>
    <t>VIS 12009</t>
  </si>
  <si>
    <t>MMT/IMPS/534709635083</t>
  </si>
  <si>
    <t>VIS 12416</t>
  </si>
  <si>
    <t>MMT/IMPS/534709634670</t>
  </si>
  <si>
    <t>25-26D03016343</t>
  </si>
  <si>
    <t>MMT/IMPS/534709635063</t>
  </si>
  <si>
    <t>SA 011941</t>
  </si>
  <si>
    <t>MMT/IMPS/534709635055</t>
  </si>
  <si>
    <t>MMT/IMPS/534709634698</t>
  </si>
  <si>
    <t>25-26DO1018760</t>
  </si>
  <si>
    <t>MMT/IMPS/534709635113</t>
  </si>
  <si>
    <t>VIS 12903</t>
  </si>
  <si>
    <t>25-26D03016965</t>
  </si>
  <si>
    <t>SI/08999/2025-26</t>
  </si>
  <si>
    <t>MMT/IMPS/534709634655</t>
  </si>
  <si>
    <t>25-26D13478</t>
  </si>
  <si>
    <t>MMT/IMPS/534709634566</t>
  </si>
  <si>
    <t>25-26D01019390</t>
  </si>
  <si>
    <t>VIS 13420</t>
  </si>
  <si>
    <t>25-26D13669 1/1</t>
  </si>
  <si>
    <t>VIS 13527</t>
  </si>
  <si>
    <t>VIS 13607</t>
  </si>
  <si>
    <t>VIS 13623</t>
  </si>
  <si>
    <t>25-26D01019864</t>
  </si>
  <si>
    <t>D01002295</t>
  </si>
  <si>
    <t>MMT/IMPS/534709634618</t>
  </si>
  <si>
    <t>VIS 13752</t>
  </si>
  <si>
    <t>SA 013051</t>
  </si>
  <si>
    <t>MMT/IMPS/600417598282</t>
  </si>
  <si>
    <t>D01002339 1/1</t>
  </si>
  <si>
    <t>VIS 14387</t>
  </si>
  <si>
    <t>MMT/IMPS/600417599078</t>
  </si>
  <si>
    <t>D01004787 1/1</t>
  </si>
  <si>
    <t>MMT/IMPS/600417598206</t>
  </si>
  <si>
    <t>SA 013626</t>
  </si>
  <si>
    <t>MMT/IMPS/600417598179</t>
  </si>
  <si>
    <t>25-26D01021265</t>
  </si>
  <si>
    <t>MMT/IMPS/600417598363</t>
  </si>
  <si>
    <t>VIS 14836</t>
  </si>
  <si>
    <t>25-26D01021790</t>
  </si>
  <si>
    <t>25-26D01021940</t>
  </si>
  <si>
    <t>MMT/IMPS/600417599135</t>
  </si>
  <si>
    <t>SI/10516/2025-26</t>
  </si>
  <si>
    <t>MMT/IMPS/600417598314</t>
  </si>
  <si>
    <t>D01002544 1/1</t>
  </si>
  <si>
    <t>O01004319</t>
  </si>
  <si>
    <t>MMT/IMPS/600417598125</t>
  </si>
  <si>
    <t>D01002589 1/1</t>
  </si>
  <si>
    <t>VIS  15337</t>
  </si>
  <si>
    <t>VIS 15334</t>
  </si>
  <si>
    <t>VIS 15599</t>
  </si>
  <si>
    <t>VIS 15593</t>
  </si>
  <si>
    <t>25-26D01022775</t>
  </si>
  <si>
    <t>25-26d01023116</t>
  </si>
  <si>
    <t>D01005274 1/1</t>
  </si>
  <si>
    <t>MMT/IMPS/604110161386</t>
  </si>
  <si>
    <t>D01006810 1/1</t>
  </si>
  <si>
    <t>MMT/MPS/604120160913</t>
  </si>
  <si>
    <t>VIS 00014953</t>
  </si>
  <si>
    <t>MMT/IMPS/604120164918</t>
  </si>
  <si>
    <t>VIS 16092</t>
  </si>
  <si>
    <t>Sri Sidhi Vinayaka Agency</t>
  </si>
  <si>
    <t>25-26D01021539 1/1</t>
  </si>
  <si>
    <t>MMT/IMPS/604120159657</t>
  </si>
  <si>
    <t>VIS 16226</t>
  </si>
  <si>
    <t>SI/11398/2025-26</t>
  </si>
  <si>
    <t>MMT/IMPS/604120161347</t>
  </si>
  <si>
    <t>Karkinos</t>
  </si>
  <si>
    <t>BLCOCL0045</t>
  </si>
  <si>
    <t>Bank Transfer :- 2243560019</t>
  </si>
  <si>
    <t>VIS00016298</t>
  </si>
  <si>
    <t>25-26D01024378</t>
  </si>
  <si>
    <t>MMT/IMPS/604120160939</t>
  </si>
  <si>
    <t>25-26D03021672</t>
  </si>
  <si>
    <t>MMT/IMPS/604120161431</t>
  </si>
  <si>
    <t>SA 015893</t>
  </si>
  <si>
    <t>MMT/IMPS/604120159689</t>
  </si>
  <si>
    <t>MMT/IMPS/604120159916</t>
  </si>
  <si>
    <t>D01007208</t>
  </si>
  <si>
    <t>SA 016046</t>
  </si>
  <si>
    <t>D01005645</t>
  </si>
  <si>
    <t>25-26D01025395</t>
  </si>
  <si>
    <t>VIS 17163</t>
  </si>
  <si>
    <t xml:space="preserve">Palepu Pharma Distributors </t>
  </si>
  <si>
    <t>KP-25-72930</t>
  </si>
  <si>
    <t>MMT/IMPS/604120161366</t>
  </si>
  <si>
    <t>VIS 17193</t>
  </si>
  <si>
    <t>25-26 D17762 1/1</t>
  </si>
  <si>
    <t>MMT/IMPS/604120159703</t>
  </si>
  <si>
    <t>SA 016460</t>
  </si>
  <si>
    <t>SA 016477</t>
  </si>
  <si>
    <t>25-26D03022747 1/1</t>
  </si>
  <si>
    <t>25-26D01026439</t>
  </si>
  <si>
    <t>25-26D01025875</t>
  </si>
  <si>
    <t>VIS 18018</t>
  </si>
  <si>
    <t>135</t>
  </si>
  <si>
    <t>4167</t>
  </si>
  <si>
    <t>4171</t>
  </si>
  <si>
    <t>25-26D03023357 1/1</t>
  </si>
  <si>
    <t>D01003089 1/1</t>
  </si>
  <si>
    <t>VIS 00018398</t>
  </si>
  <si>
    <t>D01003100 1/1</t>
  </si>
  <si>
    <t>VIS 18576</t>
  </si>
  <si>
    <t>SI/13007/2025-26</t>
  </si>
  <si>
    <t>25-26D19288 1/1</t>
  </si>
  <si>
    <t>D01006203 1/1</t>
  </si>
  <si>
    <t>25-26D01027954</t>
  </si>
  <si>
    <t>4383</t>
  </si>
  <si>
    <t>25-26D01024895</t>
  </si>
  <si>
    <t>VIS 19368</t>
  </si>
  <si>
    <t>VIS 19372</t>
  </si>
  <si>
    <t>136</t>
  </si>
  <si>
    <t>S.No</t>
  </si>
  <si>
    <t xml:space="preserve">Supplier Name </t>
  </si>
  <si>
    <t>Type</t>
  </si>
  <si>
    <t>Beneficiary ID</t>
  </si>
  <si>
    <t xml:space="preserve">Supplier Name (As per Bank) </t>
  </si>
  <si>
    <t>Supplier Bank (Account Number)</t>
  </si>
  <si>
    <t xml:space="preserve">Supplier Bank (IFSC Code) </t>
  </si>
  <si>
    <t>Remarks</t>
  </si>
  <si>
    <t>AKG Enterprises</t>
  </si>
  <si>
    <t>Pharmacy</t>
  </si>
  <si>
    <t>Alpha Technologies</t>
  </si>
  <si>
    <t>Printer</t>
  </si>
  <si>
    <t>Bharath Pharma</t>
  </si>
  <si>
    <t>GJ Multiclave (India) Pvt.Ltd</t>
  </si>
  <si>
    <t>D.B.Enterprises</t>
  </si>
  <si>
    <t>D.B. ENTERPRISES</t>
  </si>
  <si>
    <t>Lakshmi Pharma</t>
  </si>
  <si>
    <t>ICIC0006066</t>
  </si>
  <si>
    <t>Oct-11th-2025-New ICIC Bank added</t>
  </si>
  <si>
    <t>Peony Pharmaceutical</t>
  </si>
  <si>
    <t>Rajeshwari Enterprise</t>
  </si>
  <si>
    <t>Sayanam Pharma</t>
  </si>
  <si>
    <t xml:space="preserve">9th Dec 2023 :- New HDFC Bank added </t>
  </si>
  <si>
    <t>Sri Vinayaka Pharma</t>
  </si>
  <si>
    <t xml:space="preserve">15th Dec 2023 :- New ICICI Bank Added </t>
  </si>
  <si>
    <t>Thirumurugan Agencies</t>
  </si>
  <si>
    <t>Vaccine House</t>
  </si>
  <si>
    <t>Vcare Pharma</t>
  </si>
  <si>
    <t>Medicine Zone</t>
  </si>
  <si>
    <t>Kiran Pharmaceuticals</t>
  </si>
  <si>
    <t>Serum and Vaccines INC</t>
  </si>
  <si>
    <t>P.M.S Distributors</t>
  </si>
  <si>
    <t>Sri Imaging Technologie</t>
  </si>
  <si>
    <t>Mapped to AM private account</t>
  </si>
  <si>
    <t>P.K Pharmaceticals</t>
  </si>
  <si>
    <t>Doctorstore Division</t>
  </si>
  <si>
    <t>Aadhuraa Online Rehabstore</t>
  </si>
  <si>
    <t>Medilink Enterprises</t>
  </si>
  <si>
    <t xml:space="preserve">Bio Bags </t>
  </si>
  <si>
    <t>Thirumalai Printer</t>
  </si>
  <si>
    <t>Adayar Cancer Institute</t>
  </si>
  <si>
    <t>Diagnostics</t>
  </si>
  <si>
    <t xml:space="preserve">Adayar Cancer Institute </t>
  </si>
  <si>
    <t>Bene ID</t>
  </si>
  <si>
    <t>Bene Name</t>
  </si>
  <si>
    <t>Bene Short Name</t>
  </si>
  <si>
    <t>Bene Type</t>
  </si>
  <si>
    <t>Account Number</t>
  </si>
  <si>
    <t>IFSC</t>
  </si>
  <si>
    <t xml:space="preserve">Others </t>
  </si>
  <si>
    <t>SRI KUMARAN PHARMACEUTICALS</t>
  </si>
  <si>
    <t>SRIKUMARANPHARMA</t>
  </si>
  <si>
    <t>Other Bank</t>
  </si>
  <si>
    <t>HDFC0000879</t>
  </si>
  <si>
    <t>SRI SARAVANA PHARMACEUTICALS</t>
  </si>
  <si>
    <t>SRISARAVANAPHARMA</t>
  </si>
  <si>
    <t>MEDIA LOGIC SOLUTIONS PVT LTD</t>
  </si>
  <si>
    <t>SONOCARE</t>
  </si>
  <si>
    <t>HDFC0000323</t>
  </si>
  <si>
    <t>GEEVI CONTROL SYSTEMS</t>
  </si>
  <si>
    <t>SCANUPS</t>
  </si>
  <si>
    <t>ICICI Bank</t>
  </si>
  <si>
    <t>ICIC0000011</t>
  </si>
  <si>
    <t>H AUGSTIN PETER</t>
  </si>
  <si>
    <t>KRIANPHARMA</t>
  </si>
  <si>
    <t>HDFC0000688</t>
  </si>
  <si>
    <t>SAYANAM PHARMA</t>
  </si>
  <si>
    <t>SAYANAMPHARMA</t>
  </si>
  <si>
    <t>SIBL0000029</t>
  </si>
  <si>
    <t>MedigreenTMB</t>
  </si>
  <si>
    <t>TMBL0000105</t>
  </si>
  <si>
    <t>MEDZONE PHARMA</t>
  </si>
  <si>
    <t>MEDZONEPHAR</t>
  </si>
  <si>
    <t>VCARE PHARMA</t>
  </si>
  <si>
    <t>vcarepharma</t>
  </si>
  <si>
    <t>Sri Vinyak Pharma Distributors</t>
  </si>
  <si>
    <t>SriVinayakPharma</t>
  </si>
  <si>
    <t>CIUB0000071</t>
  </si>
  <si>
    <t>PharmaTrek Private Limited</t>
  </si>
  <si>
    <t>pharmatrek</t>
  </si>
  <si>
    <t>Sundaram agencies</t>
  </si>
  <si>
    <t>Sundaramagencies</t>
  </si>
  <si>
    <t>Sai Niwas Health centre</t>
  </si>
  <si>
    <t>Colpo</t>
  </si>
  <si>
    <t>Vaccine paradise</t>
  </si>
  <si>
    <t>vaccineparadise</t>
  </si>
  <si>
    <t>IOBA0000482</t>
  </si>
  <si>
    <t>Srimathi</t>
  </si>
  <si>
    <t>UdayComputer</t>
  </si>
  <si>
    <t>FDRL0001642</t>
  </si>
  <si>
    <t>S R Agency</t>
  </si>
  <si>
    <t>SRAGENCY</t>
  </si>
  <si>
    <t>GJ MULTICLAVE (INDIA) PVT LTD</t>
  </si>
  <si>
    <t>GJMULTIBIOMED</t>
  </si>
  <si>
    <t>PEONY PHARMACEUTICAL</t>
  </si>
  <si>
    <t>PEONYPHARMA</t>
  </si>
  <si>
    <t>FDRL0002008</t>
  </si>
  <si>
    <t>Alpha Technology</t>
  </si>
  <si>
    <t>CTG</t>
  </si>
  <si>
    <t>CNRB0004054</t>
  </si>
  <si>
    <t>Dos Agency</t>
  </si>
  <si>
    <t>DosAgencyNew</t>
  </si>
  <si>
    <t>MoralPharmaNew</t>
  </si>
  <si>
    <t>IDIB000K559</t>
  </si>
  <si>
    <t>SRI JAYAMARUTHI OFFSET</t>
  </si>
  <si>
    <t>FILEPRINTER</t>
  </si>
  <si>
    <t>Krishco medical products p ltd</t>
  </si>
  <si>
    <t>krishco</t>
  </si>
  <si>
    <t>Medical Imaging Solutions</t>
  </si>
  <si>
    <t>SCANREFURB</t>
  </si>
  <si>
    <t>UTIB0001565</t>
  </si>
  <si>
    <t>BHARATH  PHARMA DISTRIBUTORS</t>
  </si>
  <si>
    <t>BHARTHPHARMA</t>
  </si>
  <si>
    <t>SBIN0002288</t>
  </si>
  <si>
    <t>SRIRAM PHARMA</t>
  </si>
  <si>
    <t>SRIRAMPHARMA</t>
  </si>
  <si>
    <t>PALEPU PHARMA PRIVATE LIMITED</t>
  </si>
  <si>
    <t>palepuNew</t>
  </si>
  <si>
    <t>RAJESWARI ENTERPRISES</t>
  </si>
  <si>
    <t>RAJESHWARIPHARMA</t>
  </si>
  <si>
    <t>KKBK0008516</t>
  </si>
  <si>
    <t>MORAL PHARMA</t>
  </si>
  <si>
    <t>MORALPHARMA</t>
  </si>
  <si>
    <t>ALLA0212317</t>
  </si>
  <si>
    <t>QUALITY MEDICAL SYSTEMS</t>
  </si>
  <si>
    <t>SCANSERVICE</t>
  </si>
  <si>
    <t>SBIN0016284</t>
  </si>
  <si>
    <t>Serum and Vaccines</t>
  </si>
  <si>
    <t>SERUMANDVACCINES</t>
  </si>
  <si>
    <t>SBIN0001515</t>
  </si>
  <si>
    <t>Loganathan</t>
  </si>
  <si>
    <t>LOGANATHAN</t>
  </si>
  <si>
    <t>SBIN0003273</t>
  </si>
  <si>
    <t>V SathishKumar</t>
  </si>
  <si>
    <t>VSATHISHKUMAR</t>
  </si>
  <si>
    <t>IBKL0000718</t>
  </si>
  <si>
    <t>Smart it solutions</t>
  </si>
  <si>
    <t>SMARTITSOLUTIONS</t>
  </si>
  <si>
    <t>LAVB0000358</t>
  </si>
  <si>
    <t>Vaccine house</t>
  </si>
  <si>
    <t>VACCINEHOUSE</t>
  </si>
  <si>
    <t>CNRB0000936</t>
  </si>
  <si>
    <t>DEVIKA MEDICALS</t>
  </si>
  <si>
    <t>DEVIKAMED</t>
  </si>
  <si>
    <t>LAKSHMI PHARMA</t>
  </si>
  <si>
    <t>LAKSHMIPHARM</t>
  </si>
  <si>
    <t>KARB0000441</t>
  </si>
  <si>
    <t>K RENGARAJAN</t>
  </si>
  <si>
    <t>AUDITOR</t>
  </si>
  <si>
    <t>IOBA0001318</t>
  </si>
  <si>
    <t>AKGENTERPRISES</t>
  </si>
  <si>
    <t>Thirumurugan</t>
  </si>
  <si>
    <t>THIRUMURUGAN</t>
  </si>
  <si>
    <t>Ambal press</t>
  </si>
  <si>
    <t>AMBALPRESS</t>
  </si>
  <si>
    <t>CNRB0002916</t>
  </si>
  <si>
    <t>Easyclinic</t>
  </si>
  <si>
    <t>EASYCLINIC</t>
  </si>
  <si>
    <t>SBIN0000205</t>
  </si>
  <si>
    <t>Medicine zone</t>
  </si>
  <si>
    <t>MEDICINEZONE</t>
  </si>
  <si>
    <t>FDRL0001441</t>
  </si>
  <si>
    <t>Kimptun health care</t>
  </si>
  <si>
    <t>KIMPTUNHEALTHCARE</t>
  </si>
  <si>
    <t>TMBL0000489</t>
  </si>
  <si>
    <t>Sri Siddi Vinayak agency</t>
  </si>
  <si>
    <t>SRISIDDIVINAYAKAGENC</t>
  </si>
  <si>
    <t>KVBL0001138</t>
  </si>
  <si>
    <t>S Manivannan</t>
  </si>
  <si>
    <t>SMANIVANNAN</t>
  </si>
  <si>
    <t>SBIN0000853</t>
  </si>
  <si>
    <t>D B Enterprises</t>
  </si>
  <si>
    <t>DBENTERPRISES</t>
  </si>
  <si>
    <t>Jaya distributors</t>
  </si>
  <si>
    <t>JAYADISTRIBUTORS</t>
  </si>
  <si>
    <t>Angel V</t>
  </si>
  <si>
    <t>ANGELV</t>
  </si>
  <si>
    <t>LAVB0000433</t>
  </si>
  <si>
    <t>Shree savithri pharma agencies</t>
  </si>
  <si>
    <t>SHREESAVITHRIPHARMAA</t>
  </si>
  <si>
    <t>KVBL0001614</t>
  </si>
  <si>
    <t>D Sathish Kumar</t>
  </si>
  <si>
    <t>DSATHISHKUMAR</t>
  </si>
  <si>
    <t>Sri Sakthi Vignesh pharma</t>
  </si>
  <si>
    <t>SRISAKTHIVIGNESHPHARMA</t>
  </si>
  <si>
    <t>FDRL0001192</t>
  </si>
  <si>
    <t>KANAGAVALLI PHARMA</t>
  </si>
  <si>
    <t>KNGVLLPHRMA</t>
  </si>
  <si>
    <t>M DINESHKUMAR</t>
  </si>
  <si>
    <t>SCANCNSMBL</t>
  </si>
  <si>
    <t>HDFC0000574</t>
  </si>
  <si>
    <t>CANCER INSTITUTE WIA</t>
  </si>
  <si>
    <t>CANCERINSTITUTE</t>
  </si>
  <si>
    <t>UBIN0814971</t>
  </si>
  <si>
    <t>PRANAVAMHEALTHCARE</t>
  </si>
  <si>
    <t>CNRB0002722</t>
  </si>
  <si>
    <t>KARKINOS HEALTHCARE PRIVATE LIMITED</t>
  </si>
  <si>
    <t>KARKINOS</t>
  </si>
  <si>
    <t>HDFC0000540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</si>
</sst>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[$-14009]d\ mmmm\ yyyy;@"/>
    <numFmt numFmtId="166" formatCode="_([$$-409]* #,##0.00_);_([$$-409]* \(#,##0.00\);_([$$-409]* &quot;-&quot;??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0" applyNumberFormat="1"/>
    <xf numFmtId="49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5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1" fontId="3" fillId="3" borderId="8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1" fontId="0" fillId="0" borderId="2" xfId="0" applyNumberFormat="1" applyBorder="1" applyAlignment="1">
      <alignment horizontal="left"/>
    </xf>
    <xf numFmtId="0" fontId="0" fillId="0" borderId="2" xfId="0" applyBorder="1" applyAlignment="1">
      <alignment wrapText="1"/>
    </xf>
    <xf numFmtId="0" fontId="4" fillId="0" borderId="2" xfId="0" applyFont="1" applyBorder="1"/>
    <xf numFmtId="1" fontId="0" fillId="0" borderId="0" xfId="0" applyNumberFormat="1" applyAlignment="1">
      <alignment horizontal="left"/>
    </xf>
    <xf numFmtId="0" fontId="0" fillId="0" borderId="2" xfId="0" applyBorder="1" applyAlignment="1">
      <alignment vertical="center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1" fontId="3" fillId="3" borderId="11" xfId="0" applyNumberFormat="1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1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1" fontId="3" fillId="3" borderId="3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165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4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8" fontId="7" fillId="0" borderId="3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44" fontId="5" fillId="0" borderId="2" xfId="0" applyNumberFormat="1" applyFont="1" applyBorder="1"/>
    <xf numFmtId="0" fontId="5" fillId="0" borderId="0" xfId="0" pivotButton="1" applyFont="1"/>
    <xf numFmtId="0" fontId="5" fillId="0" borderId="0" xfId="0" applyFont="1"/>
    <xf numFmtId="164" fontId="5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6" fontId="5" fillId="0" borderId="0" xfId="0" applyNumberFormat="1" applyFont="1"/>
    <xf numFmtId="44" fontId="5" fillId="0" borderId="0" xfId="0" applyNumberFormat="1" applyFont="1"/>
    <xf numFmtId="164" fontId="5" fillId="5" borderId="0" xfId="0" applyNumberFormat="1" applyFont="1" applyFill="1"/>
    <xf numFmtId="8" fontId="5" fillId="0" borderId="2" xfId="0" applyNumberFormat="1" applyFont="1" applyBorder="1"/>
    <xf numFmtId="0" fontId="8" fillId="0" borderId="2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4" fontId="5" fillId="0" borderId="3" xfId="0" applyNumberFormat="1" applyFont="1" applyBorder="1"/>
    <xf numFmtId="165" fontId="5" fillId="0" borderId="12" xfId="0" applyNumberFormat="1" applyFont="1" applyBorder="1" applyAlignment="1">
      <alignment horizontal="center"/>
    </xf>
    <xf numFmtId="49" fontId="5" fillId="0" borderId="3" xfId="0" applyNumberFormat="1" applyFont="1" applyBorder="1"/>
    <xf numFmtId="0" fontId="5" fillId="0" borderId="0" xfId="0" applyNumberFormat="1" applyFont="1"/>
    <xf numFmtId="165" fontId="5" fillId="0" borderId="2" xfId="0" applyNumberFormat="1" applyFont="1" applyBorder="1" applyAlignment="1">
      <alignment horizontal="center" wrapText="1"/>
    </xf>
    <xf numFmtId="0" fontId="9" fillId="0" borderId="2" xfId="0" applyFont="1" applyFill="1" applyBorder="1" applyAlignment="1"/>
    <xf numFmtId="0" fontId="9" fillId="0" borderId="4" xfId="0" applyFont="1" applyFill="1" applyBorder="1" applyAlignment="1"/>
    <xf numFmtId="44" fontId="10" fillId="0" borderId="2" xfId="0" applyNumberFormat="1" applyFont="1" applyBorder="1"/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5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_ [$₹-4009]\ * #,##0.00_ ;_ [$₹-4009]\ * \-#,##0.00_ ;_ [$₹-4009]\ * &quot;-&quot;??_ ;_ @_ 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sz val="14"/>
      </font>
    </dxf>
    <dxf>
      <numFmt numFmtId="34" formatCode="_ &quot;₹&quot;\ * #,##0.00_ ;_ &quot;₹&quot;\ * \-#,##0.00_ ;_ &quot;₹&quot;\ * &quot;-&quot;??_ ;_ @_ "/>
    </dxf>
    <dxf>
      <numFmt numFmtId="164" formatCode="_ [$₹-4009]\ * #,##0.00_ ;_ [$₹-4009]\ * \-#,##0.00_ ;_ [$₹-4009]\ * &quot;-&quot;??_ ;_ @_ "/>
    </dxf>
    <dxf>
      <fill>
        <patternFill patternType="solid">
          <fgColor indexed="64"/>
          <bgColor theme="0"/>
        </patternFill>
      </fill>
    </dxf>
    <dxf>
      <numFmt numFmtId="164" formatCode="_ [$₹-4009]\ * #,##0.00_ ;_ [$₹-4009]\ * \-#,##0.00_ ;_ [$₹-4009]\ * &quot;-&quot;??_ ;_ @_ "/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2</xdr:row>
      <xdr:rowOff>76200</xdr:rowOff>
    </xdr:from>
    <xdr:to>
      <xdr:col>19</xdr:col>
      <xdr:colOff>0</xdr:colOff>
      <xdr:row>8</xdr:row>
      <xdr:rowOff>19050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e">
              <a:extLst>
                <a:ext uri="{FF2B5EF4-FFF2-40B4-BE49-F238E27FC236}">
                  <a16:creationId xmlns:a16="http://schemas.microsoft.com/office/drawing/2014/main" id="{F8625C07-0FE9-6A3F-811B-81215B588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5" y="4572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43b6e31b9e74e02/Desktop/Clinic%20Payment/VENDOR_REFERENCE.xls.xlsx" TargetMode="External"/><Relationship Id="rId1" Type="http://schemas.openxmlformats.org/officeDocument/2006/relationships/externalLinkPath" Target="/143b6e31b9e74e02/Desktop/Clinic%20Payment/VENDOR_REFERENCE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ndor List Formatted"/>
      <sheetName val="Sheet1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589300810185" createdVersion="8" refreshedVersion="8" minRefreshableVersion="3" recordCount="332" xr:uid="{1BCEF239-4A97-4165-8327-0EECB255CAB8}">
  <cacheSource type="worksheet">
    <worksheetSource name="SUPPLIER_PAYMENT"/>
  </cacheSource>
  <cacheFields count="10">
    <cacheField name="Date" numFmtId="0">
      <sharedItems containsNonDate="0" containsDate="1" containsString="0" containsBlank="1" minDate="2025-04-02T00:00:00" maxDate="2026-03-01T00:00:00" count="167">
        <d v="2025-04-02T00:00:00"/>
        <d v="2025-04-05T00:00:00"/>
        <d v="2025-04-04T00:00:00"/>
        <d v="2025-04-07T00:00:00"/>
        <d v="2025-04-08T00:00:00"/>
        <d v="2025-04-09T00:00:00"/>
        <d v="2025-04-10T00:00:00"/>
        <d v="2025-04-11T00:00:00"/>
        <d v="2025-04-12T00:00:00"/>
        <d v="2025-04-16T00:00:00"/>
        <d v="2025-04-19T00:00:00"/>
        <d v="2025-04-18T00:00:00"/>
        <d v="2025-04-21T00:00:00"/>
        <d v="2025-04-22T00:00:00"/>
        <d v="2025-04-24T00:00:00"/>
        <d v="2025-04-25T00:00:00"/>
        <d v="2025-04-28T00:00:00"/>
        <d v="2025-04-29T00:00:00"/>
        <d v="2025-04-30T00:00:00"/>
        <d v="2025-05-01T00:00:00"/>
        <d v="2025-05-03T00:00:00"/>
        <d v="2025-05-05T00:00:00"/>
        <d v="2025-05-07T00:00:00"/>
        <d v="2025-05-12T00:00:00"/>
        <d v="2025-05-14T00:00:00"/>
        <d v="2025-05-13T00:00:00"/>
        <d v="2025-05-15T00:00:00"/>
        <d v="2025-05-17T00:00:00"/>
        <d v="2025-05-16T00:00:00"/>
        <d v="2025-05-19T00:00:00"/>
        <d v="2025-05-20T00:00:00"/>
        <d v="2025-05-22T00:00:00"/>
        <d v="2025-05-26T00:00:00"/>
        <d v="2025-05-27T00:00:00"/>
        <d v="2025-05-28T00:00:00"/>
        <d v="2025-05-29T00:00:00"/>
        <d v="2025-06-03T00:00:00"/>
        <d v="2025-06-06T00:00:00"/>
        <d v="2025-06-07T00:00:00"/>
        <d v="2025-06-09T00:00:00"/>
        <d v="2025-06-10T00:00:00"/>
        <d v="2025-06-13T00:00:00"/>
        <d v="2025-06-17T00:00:00"/>
        <d v="2025-06-16T00:00:00"/>
        <d v="2025-06-19T00:00:00"/>
        <d v="2025-06-23T00:00:00"/>
        <d v="2025-06-24T00:00:00"/>
        <d v="2025-06-25T00:00:00"/>
        <d v="2025-06-30T00:00:00"/>
        <d v="2025-07-08T00:00:00"/>
        <d v="2025-07-04T00:00:00"/>
        <d v="2025-07-11T00:00:00"/>
        <d v="2025-07-14T00:00:00"/>
        <d v="2025-07-12T00:00:00"/>
        <d v="2025-07-17T00:00:00"/>
        <d v="2025-07-18T00:00:00"/>
        <d v="2025-07-19T00:00:00"/>
        <d v="2025-07-16T00:00:00"/>
        <d v="2025-07-22T00:00:00"/>
        <d v="2025-07-23T00:00:00"/>
        <d v="2025-07-24T00:00:00"/>
        <d v="2025-07-25T00:00:00"/>
        <d v="2025-07-26T00:00:00"/>
        <d v="2025-08-06T00:00:00"/>
        <d v="2025-08-05T00:00:00"/>
        <d v="2025-08-12T00:00:00"/>
        <d v="2025-08-13T00:00:00"/>
        <d v="2025-08-16T00:00:00"/>
        <d v="2025-08-18T00:00:00"/>
        <d v="2025-08-19T00:00:00"/>
        <d v="2025-08-20T00:00:00"/>
        <d v="2025-08-21T00:00:00"/>
        <d v="2025-08-22T00:00:00"/>
        <d v="2025-08-25T00:00:00"/>
        <d v="2025-08-23T00:00:00"/>
        <d v="2025-08-26T00:00:00"/>
        <d v="2025-08-27T00:00:00"/>
        <d v="2025-08-30T00:00:00"/>
        <d v="2025-09-02T00:00:00"/>
        <d v="2025-09-03T00:00:00"/>
        <d v="2025-09-06T00:00:00"/>
        <d v="2025-09-05T00:00:00"/>
        <d v="2025-09-10T00:00:00"/>
        <d v="2025-09-09T00:00:00"/>
        <d v="2025-09-12T00:00:00"/>
        <d v="2025-09-17T00:00:00"/>
        <d v="2025-09-19T00:00:00"/>
        <d v="2025-09-20T00:00:00"/>
        <d v="2025-09-22T00:00:00"/>
        <d v="2025-09-23T00:00:00"/>
        <d v="2025-09-25T00:00:00"/>
        <d v="2025-09-27T00:00:00"/>
        <d v="2025-09-30T00:00:00"/>
        <d v="2025-10-01T00:00:00"/>
        <d v="2025-10-02T00:00:00"/>
        <d v="2025-10-04T00:00:00"/>
        <d v="2025-10-07T00:00:00"/>
        <d v="2025-10-08T00:00:00"/>
        <d v="2025-10-14T00:00:00"/>
        <d v="2025-10-17T00:00:00"/>
        <d v="2025-10-18T00:00:00"/>
        <d v="2025-10-22T00:00:00"/>
        <d v="2025-10-23T00:00:00"/>
        <d v="2025-10-24T00:00:00"/>
        <d v="2025-10-25T00:00:00"/>
        <d v="2025-10-27T00:00:00"/>
        <d v="2025-10-28T00:00:00"/>
        <d v="2025-10-30T00:00:00"/>
        <d v="2025-10-29T00:00:00"/>
        <d v="2025-11-03T00:00:00"/>
        <d v="2025-11-05T00:00:00"/>
        <d v="2025-11-10T00:00:00"/>
        <d v="2025-11-12T00:00:00"/>
        <d v="2025-11-13T00:00:00"/>
        <d v="2025-11-18T00:00:00"/>
        <d v="2025-11-19T00:00:00"/>
        <d v="2025-11-21T00:00:00"/>
        <d v="2025-11-22T00:00:00"/>
        <d v="2025-11-24T00:00:00"/>
        <d v="2025-11-25T00:00:00"/>
        <d v="2025-11-27T00:00:00"/>
        <d v="2025-11-28T00:00:00"/>
        <d v="2025-11-29T00:00:00"/>
        <d v="2025-12-01T00:00:00"/>
        <d v="2025-12-04T00:00:00"/>
        <d v="2025-12-08T00:00:00"/>
        <d v="2025-12-09T00:00:00"/>
        <d v="2025-12-10T00:00:00"/>
        <d v="2025-12-16T00:00:00"/>
        <d v="2025-12-18T00:00:00"/>
        <d v="2025-12-17T00:00:00"/>
        <d v="2025-12-22T00:00:00"/>
        <d v="2025-12-20T00:00:00"/>
        <d v="2025-12-24T00:00:00"/>
        <d v="2025-12-25T00:00:00"/>
        <d v="2025-12-29T00:00:00"/>
        <d v="2025-12-26T00:00:00"/>
        <d v="2025-12-30T00:00:00"/>
        <d v="2026-01-03T00:00:00"/>
        <d v="2026-01-05T00:00:00"/>
        <d v="2026-01-08T00:00:00"/>
        <d v="2026-01-06T00:00:00"/>
        <d v="2026-01-07T00:00:00"/>
        <d v="2025-12-31T00:00:00"/>
        <d v="2026-01-09T00:00:00"/>
        <d v="2026-01-13T00:00:00"/>
        <d v="2026-01-19T00:00:00"/>
        <d v="2026-01-21T00:00:00"/>
        <d v="2026-01-23T00:00:00"/>
        <d v="2026-01-24T00:00:00"/>
        <d v="2026-01-26T00:00:00"/>
        <d v="2026-01-27T00:00:00"/>
        <d v="2026-01-30T00:00:00"/>
        <d v="2026-02-03T00:00:00"/>
        <d v="2026-02-05T00:00:00"/>
        <d v="2026-02-07T00:00:00"/>
        <d v="2026-02-08T00:00:00"/>
        <d v="2026-02-10T00:00:00"/>
        <d v="2026-02-11T00:00:00"/>
        <d v="2026-02-12T00:00:00"/>
        <d v="2026-02-13T00:00:00"/>
        <d v="2026-02-16T00:00:00"/>
        <d v="2026-02-17T00:00:00"/>
        <d v="2026-02-20T00:00:00"/>
        <d v="2026-02-23T00:00:00"/>
        <d v="2026-02-28T00:00:00"/>
        <m/>
      </sharedItems>
    </cacheField>
    <cacheField name="Supplier" numFmtId="0">
      <sharedItems containsBlank="1" count="31">
        <s v="Kanagavalli Pharma"/>
        <s v="Medigreen Surgicals"/>
        <s v="Moral Pharma"/>
        <s v="Krishco Medical"/>
        <s v="Ambal Press"/>
        <s v="Pharma Trek"/>
        <s v="Vaccine Paradise"/>
        <s v="Jaya Distributors"/>
        <s v="Sundaram Agencies"/>
        <s v="Sri Kumaran Pharma"/>
        <s v="Sriram Pharma"/>
        <s v="DOS Agency "/>
        <s v="Pranavam Health Care"/>
        <s v="Sri Saravana "/>
        <s v="S.S Agencies"/>
        <s v="S. R . Agency"/>
        <s v="Medzone Pharma"/>
        <s v="Jaya Maruthi Offset"/>
        <s v="Sri Sidhi Vinayaka Agency"/>
        <s v="Karkinos"/>
        <s v="Palepu Pharma Distributors "/>
        <m/>
        <s v="Thirumalai Printer" u="1"/>
        <s v="Sri Saravana" u="1"/>
        <s v="Medicine Zone" u="1"/>
        <s v="DOS Agency" u="1"/>
        <s v="Bharath Pharma" u="1"/>
        <s v="Palepu Pharma Distributors" u="1"/>
        <s v="D.B.Enterprises" u="1"/>
        <s v="Adayar Cancer Institute" u="1"/>
        <s v="Alpha Technologies" u="1"/>
      </sharedItems>
    </cacheField>
    <cacheField name="Invoice Number" numFmtId="0">
      <sharedItems containsBlank="1" containsMixedTypes="1" containsNumber="1" containsInteger="1" minValue="3" maxValue="1000594"/>
    </cacheField>
    <cacheField name="Credit" numFmtId="0">
      <sharedItems containsString="0" containsBlank="1" containsNumber="1" containsInteger="1" minValue="294" maxValue="57315"/>
    </cacheField>
    <cacheField name="Debit" numFmtId="0">
      <sharedItems containsString="0" containsBlank="1" containsNumber="1" containsInteger="1" minValue="294" maxValue="57315"/>
    </cacheField>
    <cacheField name="Balance" numFmtId="0">
      <sharedItems containsString="0" containsBlank="1" containsNumber="1" containsInteger="1" minValue="0" maxValue="158087"/>
    </cacheField>
    <cacheField name="Payment Type" numFmtId="0">
      <sharedItems containsBlank="1"/>
    </cacheField>
    <cacheField name="Payment Date" numFmtId="0">
      <sharedItems containsNonDate="0" containsDate="1" containsString="0" containsBlank="1" minDate="2025-05-04T00:00:00" maxDate="2026-02-11T00:00:00"/>
    </cacheField>
    <cacheField name="Payment Reference" numFmtId="49">
      <sharedItems containsBlank="1"/>
    </cacheField>
    <cacheField name="Remarks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2345719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">
  <r>
    <x v="0"/>
    <x v="0"/>
    <s v="VIS 107"/>
    <n v="16048"/>
    <n v="16048"/>
    <n v="0"/>
    <s v="Bank Transfer"/>
    <d v="2025-05-04T00:00:00"/>
    <s v="MMT/IMPS/512417140162"/>
    <m/>
  </r>
  <r>
    <x v="0"/>
    <x v="1"/>
    <n v="24"/>
    <n v="2856"/>
    <n v="2856"/>
    <n v="0"/>
    <s v="Bank Transfer"/>
    <d v="2025-05-04T00:00:00"/>
    <s v="MMT/IMPS/512417140130"/>
    <m/>
  </r>
  <r>
    <x v="1"/>
    <x v="2"/>
    <s v="D010000 1/1"/>
    <n v="2181"/>
    <n v="2181"/>
    <n v="0"/>
    <s v="Bank Transfer"/>
    <d v="2025-05-04T00:00:00"/>
    <s v="MMT/IMPS/512417139630"/>
    <m/>
  </r>
  <r>
    <x v="1"/>
    <x v="1"/>
    <n v="70"/>
    <n v="3363"/>
    <n v="3363"/>
    <n v="0"/>
    <s v="Bank Transfer"/>
    <d v="2025-05-04T00:00:00"/>
    <s v="MMT/IMPS/512417140130"/>
    <m/>
  </r>
  <r>
    <x v="2"/>
    <x v="3"/>
    <s v="SI /00211/2025-26"/>
    <n v="14112"/>
    <n v="14112"/>
    <n v="0"/>
    <s v="Bank Transfer"/>
    <d v="2025-05-04T00:00:00"/>
    <s v="MMT/IMPS/512417140151"/>
    <m/>
  </r>
  <r>
    <x v="3"/>
    <x v="4"/>
    <n v="3"/>
    <n v="930"/>
    <n v="930"/>
    <n v="0"/>
    <s v="Bank Transfer"/>
    <d v="2025-05-04T00:00:00"/>
    <s v="MMT/IMPS/512417139735"/>
    <m/>
  </r>
  <r>
    <x v="3"/>
    <x v="5"/>
    <s v="PTOO49"/>
    <n v="4447"/>
    <n v="4447"/>
    <n v="0"/>
    <s v="Bank Transfer"/>
    <d v="2025-05-04T00:00:00"/>
    <s v="MMT/IMPS/512417140103"/>
    <m/>
  </r>
  <r>
    <x v="4"/>
    <x v="2"/>
    <s v="D01000059 1/1"/>
    <n v="15580"/>
    <n v="15580"/>
    <n v="0"/>
    <s v="Bank Transfer"/>
    <d v="2025-05-04T00:00:00"/>
    <s v="MMT/IMPS/512417139630"/>
    <m/>
  </r>
  <r>
    <x v="5"/>
    <x v="4"/>
    <n v="4"/>
    <n v="1520"/>
    <n v="1520"/>
    <n v="0"/>
    <s v="Bank Transfer"/>
    <d v="2025-05-04T00:00:00"/>
    <s v="MMT/IMPS/512417139735"/>
    <m/>
  </r>
  <r>
    <x v="4"/>
    <x v="6"/>
    <s v="25-26D73 1/1"/>
    <n v="5863"/>
    <n v="5863"/>
    <n v="0"/>
    <s v="Bank Transfer"/>
    <d v="2025-05-04T00:00:00"/>
    <s v="MMT/IMPS/512417139518"/>
    <m/>
  </r>
  <r>
    <x v="6"/>
    <x v="7"/>
    <s v="25-26D01000936"/>
    <n v="8849"/>
    <n v="8849"/>
    <n v="0"/>
    <s v="Bank Transfer"/>
    <d v="2025-05-04T00:00:00"/>
    <s v="MMT/IMPS/512417139693"/>
    <m/>
  </r>
  <r>
    <x v="6"/>
    <x v="7"/>
    <s v="25-26D01000953"/>
    <n v="7020"/>
    <n v="7020"/>
    <n v="0"/>
    <s v="Bank Transfer"/>
    <d v="2025-05-04T00:00:00"/>
    <s v="MMT/IMPS/512417139693"/>
    <m/>
  </r>
  <r>
    <x v="7"/>
    <x v="8"/>
    <n v="1000204"/>
    <n v="1600"/>
    <n v="1600"/>
    <n v="0"/>
    <s v="Bank Transfer"/>
    <d v="2025-05-04T00:00:00"/>
    <s v="MMT/IMPS/512417140021"/>
    <m/>
  </r>
  <r>
    <x v="8"/>
    <x v="9"/>
    <s v="25-26D01000845 1/1"/>
    <n v="4000"/>
    <n v="4000"/>
    <n v="0"/>
    <s v="Bank Transfer"/>
    <d v="2025-05-04T00:00:00"/>
    <s v="MMT/IMPS/512417139597"/>
    <m/>
  </r>
  <r>
    <x v="7"/>
    <x v="6"/>
    <s v="25-26D657 1/1"/>
    <n v="6040"/>
    <n v="6040"/>
    <n v="0"/>
    <s v="Bank Transfer"/>
    <d v="2025-05-04T00:00:00"/>
    <s v="MMT/IMPS/512417139518"/>
    <m/>
  </r>
  <r>
    <x v="9"/>
    <x v="10"/>
    <s v="SA 000764"/>
    <n v="1350"/>
    <n v="1350"/>
    <n v="0"/>
    <s v="Bank Transfer"/>
    <d v="2025-05-04T00:00:00"/>
    <s v="MMT/IMPS/512417140044"/>
    <m/>
  </r>
  <r>
    <x v="10"/>
    <x v="7"/>
    <s v="25-26D01001629"/>
    <n v="4595"/>
    <n v="4595"/>
    <n v="0"/>
    <s v="Bank Transfer"/>
    <d v="2025-05-04T00:00:00"/>
    <s v="MMT/IMPS/512417139693"/>
    <m/>
  </r>
  <r>
    <x v="10"/>
    <x v="11"/>
    <s v="DO1000446 1/1"/>
    <n v="5306"/>
    <n v="5306"/>
    <n v="0"/>
    <s v="Bank Transfer"/>
    <d v="2025-05-04T00:00:00"/>
    <s v="MMT/IMPS/512417139713"/>
    <m/>
  </r>
  <r>
    <x v="11"/>
    <x v="6"/>
    <s v="25-26D1015 1/1"/>
    <n v="3952"/>
    <n v="3952"/>
    <n v="0"/>
    <s v="Bank Transfer"/>
    <d v="2025-05-04T00:00:00"/>
    <s v="MMT/IMPS/512417139518"/>
    <m/>
  </r>
  <r>
    <x v="11"/>
    <x v="0"/>
    <s v="VIS 1005"/>
    <n v="54053"/>
    <n v="54053"/>
    <n v="0"/>
    <s v="Bank Transfer"/>
    <d v="2025-05-04T00:00:00"/>
    <s v="MMT/IMPS/512417140162"/>
    <m/>
  </r>
  <r>
    <x v="10"/>
    <x v="12"/>
    <s v="INI56/25-26"/>
    <n v="12620"/>
    <n v="12620"/>
    <n v="0"/>
    <s v="Bank Transfer"/>
    <d v="2025-05-04T00:00:00"/>
    <s v="MMT/IMPS/512417140083"/>
    <m/>
  </r>
  <r>
    <x v="12"/>
    <x v="4"/>
    <n v="13"/>
    <n v="1632"/>
    <n v="1632"/>
    <n v="0"/>
    <s v="Bank Transfer"/>
    <d v="2025-05-04T00:00:00"/>
    <s v="MMT/IMPS/512417139735"/>
    <m/>
  </r>
  <r>
    <x v="13"/>
    <x v="7"/>
    <s v="25-26D01001839"/>
    <n v="7020"/>
    <n v="7020"/>
    <n v="0"/>
    <s v="Bank Transfer"/>
    <d v="2025-05-04T00:00:00"/>
    <s v="MMT/IMPS/512417139693"/>
    <m/>
  </r>
  <r>
    <x v="14"/>
    <x v="13"/>
    <s v="25-26D03001755 1/1"/>
    <n v="6516"/>
    <n v="6516"/>
    <n v="0"/>
    <s v="Bank Transfer"/>
    <d v="2025-05-04T00:00:00"/>
    <s v="MMT/IMPS/512417140055"/>
    <m/>
  </r>
  <r>
    <x v="14"/>
    <x v="4"/>
    <n v="15"/>
    <n v="1170"/>
    <n v="1170"/>
    <n v="0"/>
    <s v="Bank Transfer"/>
    <d v="2025-05-04T00:00:00"/>
    <s v="MMT/IMPS/512417139735"/>
    <m/>
  </r>
  <r>
    <x v="15"/>
    <x v="13"/>
    <s v="25-26D03001803 1/1"/>
    <n v="2376"/>
    <n v="2376"/>
    <n v="0"/>
    <s v="Bank Transfer"/>
    <d v="2025-05-04T00:00:00"/>
    <s v="MMT/IMPS/512417140055"/>
    <m/>
  </r>
  <r>
    <x v="16"/>
    <x v="6"/>
    <s v="25-26D1493 1/1"/>
    <n v="5410"/>
    <n v="5410"/>
    <n v="0"/>
    <s v="Bank Transfer"/>
    <d v="2025-05-04T00:00:00"/>
    <s v="MMT/IMPS/512417139518"/>
    <m/>
  </r>
  <r>
    <x v="17"/>
    <x v="11"/>
    <s v="D01000703 1/1"/>
    <n v="1496"/>
    <n v="1496"/>
    <n v="0"/>
    <s v="Bank Transfer"/>
    <d v="2025-05-04T00:00:00"/>
    <s v="MMT/IMPS/512417139713"/>
    <m/>
  </r>
  <r>
    <x v="17"/>
    <x v="0"/>
    <s v="VIS 1509"/>
    <n v="7745"/>
    <n v="7745"/>
    <n v="0"/>
    <s v="Bank Transfer"/>
    <d v="2025-05-04T00:00:00"/>
    <s v="MMT/IMPS/512417140162"/>
    <m/>
  </r>
  <r>
    <x v="18"/>
    <x v="7"/>
    <s v="25-26 D01002466"/>
    <n v="7020"/>
    <n v="7020"/>
    <n v="0"/>
    <s v="Bank Transfer"/>
    <d v="2025-05-04T00:00:00"/>
    <s v="MMT/IMPS/512417139693"/>
    <m/>
  </r>
  <r>
    <x v="19"/>
    <x v="2"/>
    <s v="D01000276 1/1"/>
    <n v="6232"/>
    <n v="6232"/>
    <n v="0"/>
    <s v="Bank Transfer"/>
    <d v="2025-06-10T00:00:00"/>
    <s v="MMT/IMPS/516106799969"/>
    <m/>
  </r>
  <r>
    <x v="20"/>
    <x v="14"/>
    <s v="SS/0246/25-26"/>
    <n v="784"/>
    <n v="784"/>
    <n v="0"/>
    <s v="Bank Transfer"/>
    <d v="2025-06-15T00:00:00"/>
    <s v="MMT/IMPS/516607439982"/>
    <m/>
  </r>
  <r>
    <x v="20"/>
    <x v="14"/>
    <s v="SS/0247/25-26"/>
    <n v="448"/>
    <n v="448"/>
    <n v="0"/>
    <s v="Bank Transfer"/>
    <d v="2025-06-15T00:00:00"/>
    <s v="MMT/IMPS/516607439982"/>
    <m/>
  </r>
  <r>
    <x v="20"/>
    <x v="0"/>
    <s v="VIS 1760"/>
    <n v="12802"/>
    <n v="12802"/>
    <n v="0"/>
    <s v="Bank Transfer"/>
    <d v="2025-06-10T00:00:00"/>
    <s v="MMT/IMPS/516106799523"/>
    <m/>
  </r>
  <r>
    <x v="21"/>
    <x v="2"/>
    <s v="D01000315 1/1"/>
    <n v="9348"/>
    <n v="9348"/>
    <n v="0"/>
    <s v="Bank Transfer"/>
    <d v="2025-06-10T00:00:00"/>
    <s v="MMT/IMPS/516106799969"/>
    <m/>
  </r>
  <r>
    <x v="22"/>
    <x v="8"/>
    <n v="1000594"/>
    <n v="2837"/>
    <n v="2837"/>
    <n v="0"/>
    <s v="Bank Transfer"/>
    <d v="2025-06-10T00:00:00"/>
    <s v="MMT/IMPS/516106799477"/>
    <m/>
  </r>
  <r>
    <x v="23"/>
    <x v="1"/>
    <n v="494"/>
    <n v="1049"/>
    <n v="1049"/>
    <n v="0"/>
    <s v="Bank Transfer"/>
    <d v="2025-06-10T00:00:00"/>
    <s v="MMT/IMPS/516106799515"/>
    <m/>
  </r>
  <r>
    <x v="24"/>
    <x v="7"/>
    <s v="25-26D01003630"/>
    <n v="7020"/>
    <n v="7020"/>
    <n v="0"/>
    <s v="Bank Transfer"/>
    <d v="2025-06-10T00:00:00"/>
    <s v="MMT/IMPS/516106799524"/>
    <m/>
  </r>
  <r>
    <x v="25"/>
    <x v="0"/>
    <s v="VIS 2241"/>
    <n v="24937"/>
    <n v="24937"/>
    <n v="0"/>
    <s v="Bank Transfer"/>
    <d v="2025-06-10T00:00:00"/>
    <s v="MMT/IMPS/516106799523"/>
    <m/>
  </r>
  <r>
    <x v="24"/>
    <x v="2"/>
    <s v="D01000404 1/1"/>
    <n v="15580"/>
    <n v="15580"/>
    <n v="0"/>
    <s v="Bank Transfer"/>
    <d v="2025-06-10T00:00:00"/>
    <s v="MMT/IMPS/516106799969"/>
    <m/>
  </r>
  <r>
    <x v="25"/>
    <x v="6"/>
    <s v="25-26D2259 1/1"/>
    <n v="6297"/>
    <n v="6297"/>
    <n v="0"/>
    <s v="Bank Transfer"/>
    <d v="2025-06-10T00:00:00"/>
    <s v="MMT/IMPS/516106799474"/>
    <m/>
  </r>
  <r>
    <x v="24"/>
    <x v="4"/>
    <n v="26"/>
    <n v="930"/>
    <n v="930"/>
    <n v="0"/>
    <s v="Bank Transfer"/>
    <d v="2025-06-10T00:00:00"/>
    <s v="MMT/IMPS/516106799532"/>
    <m/>
  </r>
  <r>
    <x v="26"/>
    <x v="15"/>
    <s v="D01000788 1/1"/>
    <n v="8361"/>
    <n v="8361"/>
    <n v="0"/>
    <s v="Bank Transfer"/>
    <d v="2025-06-10T00:00:00"/>
    <s v="MMT/IMPS/516106799498"/>
    <m/>
  </r>
  <r>
    <x v="27"/>
    <x v="0"/>
    <s v="VIS 2456"/>
    <n v="16891"/>
    <n v="16891"/>
    <n v="0"/>
    <s v="Bank Transfer"/>
    <d v="2025-06-10T00:00:00"/>
    <s v="MMT/IMPS/516106799523"/>
    <m/>
  </r>
  <r>
    <x v="28"/>
    <x v="6"/>
    <s v="25-26 D2436 1/1"/>
    <n v="7200"/>
    <n v="7200"/>
    <n v="0"/>
    <s v="Bank Transfer"/>
    <d v="2025-06-10T00:00:00"/>
    <s v="MMT/IMPS/516106799474"/>
    <m/>
  </r>
  <r>
    <x v="29"/>
    <x v="2"/>
    <s v="D01000458 1/1"/>
    <n v="3200"/>
    <n v="3200"/>
    <n v="0"/>
    <s v="Bank Transfer"/>
    <d v="2025-06-10T00:00:00"/>
    <s v="MMT/IMPS/516106799969"/>
    <m/>
  </r>
  <r>
    <x v="30"/>
    <x v="7"/>
    <s v="25-26D01004057"/>
    <n v="7020"/>
    <n v="7020"/>
    <n v="0"/>
    <s v="Bank Transfer"/>
    <d v="2025-06-10T00:00:00"/>
    <s v="MMT/IMPS/516106799524"/>
    <m/>
  </r>
  <r>
    <x v="31"/>
    <x v="16"/>
    <n v="259"/>
    <n v="1561"/>
    <n v="1561"/>
    <n v="0"/>
    <s v="Bank Transfer"/>
    <d v="2025-06-10T00:00:00"/>
    <s v="MMT/IMPS/516106799510"/>
    <m/>
  </r>
  <r>
    <x v="31"/>
    <x v="13"/>
    <s v="25-26D03003831 1/1"/>
    <n v="4858"/>
    <n v="4858"/>
    <n v="0"/>
    <s v="Bank Transfer"/>
    <d v="2025-06-10T00:00:00"/>
    <s v="MMT/IMPS/516106799493"/>
    <m/>
  </r>
  <r>
    <x v="31"/>
    <x v="4"/>
    <n v="29"/>
    <n v="1615"/>
    <n v="1615"/>
    <n v="0"/>
    <s v="Bank Transfer"/>
    <d v="2025-06-10T00:00:00"/>
    <s v="MMT/IMPS/516106799532"/>
    <m/>
  </r>
  <r>
    <x v="32"/>
    <x v="0"/>
    <s v="VIS 2885"/>
    <n v="24929"/>
    <n v="24929"/>
    <n v="0"/>
    <s v="Bank Transfer"/>
    <d v="2025-06-10T00:00:00"/>
    <s v="MMT/IMPS/516106799523"/>
    <m/>
  </r>
  <r>
    <x v="33"/>
    <x v="10"/>
    <s v="SA 002726"/>
    <n v="6100"/>
    <n v="6100"/>
    <n v="0"/>
    <s v="Bank Transfer"/>
    <d v="2025-06-10T00:00:00"/>
    <s v="MMT/IMPS/516106799955"/>
    <m/>
  </r>
  <r>
    <x v="33"/>
    <x v="7"/>
    <s v="25-26D01004618"/>
    <n v="7020"/>
    <n v="7020"/>
    <n v="0"/>
    <s v="Bank Transfer"/>
    <d v="2025-06-10T00:00:00"/>
    <s v="MMT/IMPS/516106799524"/>
    <m/>
  </r>
  <r>
    <x v="34"/>
    <x v="10"/>
    <s v="SA 002834"/>
    <n v="381"/>
    <n v="381"/>
    <n v="0"/>
    <s v="Bank Transfer"/>
    <d v="2025-06-10T00:00:00"/>
    <s v="MMT/IMPS/516106799955"/>
    <m/>
  </r>
  <r>
    <x v="35"/>
    <x v="4"/>
    <n v="34"/>
    <n v="835"/>
    <n v="835"/>
    <n v="0"/>
    <s v="Bank Transfer"/>
    <d v="2025-06-10T00:00:00"/>
    <s v="MMT/IMPS/516106799532"/>
    <m/>
  </r>
  <r>
    <x v="36"/>
    <x v="3"/>
    <s v="SI/02158/2025-26"/>
    <n v="30010"/>
    <n v="30010"/>
    <n v="0"/>
    <s v="Bank Transfer"/>
    <d v="2025-07-10T00:00:00"/>
    <s v="MMT/IMPS/519106336645"/>
    <m/>
  </r>
  <r>
    <x v="36"/>
    <x v="16"/>
    <n v="305"/>
    <n v="5201"/>
    <n v="5201"/>
    <n v="0"/>
    <s v="Bank Transfer"/>
    <d v="2025-07-10T00:00:00"/>
    <s v="MMT/IMPS/519106336629"/>
    <m/>
  </r>
  <r>
    <x v="37"/>
    <x v="4"/>
    <n v="38"/>
    <n v="2175"/>
    <n v="2175"/>
    <n v="0"/>
    <s v="Bank Transfer"/>
    <d v="2025-07-10T00:00:00"/>
    <s v="MMT/IMPS/519106337232"/>
    <m/>
  </r>
  <r>
    <x v="37"/>
    <x v="4"/>
    <n v="39"/>
    <n v="930"/>
    <n v="930"/>
    <n v="0"/>
    <s v="Bank Transfer"/>
    <d v="2025-07-10T00:00:00"/>
    <s v="MMT/IMPS/519106337232"/>
    <m/>
  </r>
  <r>
    <x v="37"/>
    <x v="0"/>
    <s v="VIS 3184"/>
    <n v="6674"/>
    <n v="6674"/>
    <n v="0"/>
    <s v="Bank Transfer"/>
    <d v="2025-07-10T00:00:00"/>
    <s v="MMT/IMPS/519106336649"/>
    <m/>
  </r>
  <r>
    <x v="38"/>
    <x v="0"/>
    <s v="VIS 3626"/>
    <n v="22451"/>
    <n v="22451"/>
    <n v="0"/>
    <s v="Bank Transfer"/>
    <d v="2025-07-10T00:00:00"/>
    <s v="MMT/IMPS/519106336649"/>
    <m/>
  </r>
  <r>
    <x v="38"/>
    <x v="7"/>
    <s v="25-26D01005665"/>
    <n v="7020"/>
    <n v="7020"/>
    <n v="0"/>
    <s v="Bank Transfer"/>
    <d v="2025-07-10T00:00:00"/>
    <s v="MMT/IMPS/51906336657"/>
    <m/>
  </r>
  <r>
    <x v="38"/>
    <x v="4"/>
    <n v="31"/>
    <n v="1520"/>
    <n v="1520"/>
    <n v="0"/>
    <s v="Bank Transfer"/>
    <d v="2025-07-10T00:00:00"/>
    <s v="MMT/IMPS/519106337232"/>
    <m/>
  </r>
  <r>
    <x v="39"/>
    <x v="8"/>
    <s v="O01001112"/>
    <n v="1009"/>
    <n v="1009"/>
    <n v="0"/>
    <s v="Bank Transfer"/>
    <d v="2025-07-10T00:00:00"/>
    <s v="MMT/IMPS/519106337186"/>
    <m/>
  </r>
  <r>
    <x v="40"/>
    <x v="6"/>
    <s v="25-26D3673 1/1"/>
    <n v="4336"/>
    <n v="4336"/>
    <n v="0"/>
    <s v="Bank Transfer"/>
    <d v="2025-07-10T00:00:00"/>
    <s v="MMT/IMPS/519106336620"/>
    <m/>
  </r>
  <r>
    <x v="41"/>
    <x v="2"/>
    <s v="D01000725 1/1"/>
    <n v="9114"/>
    <n v="9114"/>
    <n v="0"/>
    <s v="Bank Transfer"/>
    <d v="2025-07-10T00:00:00"/>
    <s v="MMT/IMPS/51910637205"/>
    <m/>
  </r>
  <r>
    <x v="42"/>
    <x v="1"/>
    <n v="950"/>
    <n v="3877"/>
    <n v="3877"/>
    <n v="0"/>
    <s v="Bank Transfer"/>
    <d v="2025-07-29T00:00:00"/>
    <s v="2047680346"/>
    <m/>
  </r>
  <r>
    <x v="42"/>
    <x v="7"/>
    <s v="25-26D01006423"/>
    <n v="7020"/>
    <n v="7020"/>
    <n v="0"/>
    <s v="Bank Transfer"/>
    <d v="2025-07-10T00:00:00"/>
    <s v="MMT/IMPS/51906336657"/>
    <m/>
  </r>
  <r>
    <x v="43"/>
    <x v="1"/>
    <n v="939"/>
    <n v="890"/>
    <n v="890"/>
    <n v="0"/>
    <s v="Bank Transfer"/>
    <d v="2025-07-29T00:00:00"/>
    <s v="2047680346"/>
    <m/>
  </r>
  <r>
    <x v="44"/>
    <x v="8"/>
    <s v="O01001302"/>
    <n v="504"/>
    <n v="504"/>
    <n v="0"/>
    <s v="Bank Transfer"/>
    <d v="2025-07-10T00:00:00"/>
    <s v="MMT/IMPS/519106337186"/>
    <m/>
  </r>
  <r>
    <x v="44"/>
    <x v="1"/>
    <n v="992"/>
    <n v="381"/>
    <n v="381"/>
    <n v="0"/>
    <s v="Bank Transfer"/>
    <d v="2025-07-29T00:00:00"/>
    <s v="2047680346"/>
    <m/>
  </r>
  <r>
    <x v="43"/>
    <x v="2"/>
    <s v="D01000744 1/1"/>
    <n v="15580"/>
    <n v="15580"/>
    <n v="0"/>
    <s v="Bank Transfer"/>
    <d v="2025-07-10T00:00:00"/>
    <s v="MMT/IMPS/51910637205"/>
    <m/>
  </r>
  <r>
    <x v="45"/>
    <x v="0"/>
    <s v="VIS 4473"/>
    <n v="51262"/>
    <n v="51262"/>
    <n v="0"/>
    <s v="Bank Transfer"/>
    <d v="2025-07-10T00:00:00"/>
    <s v="MMT/IMPS/519106336649"/>
    <m/>
  </r>
  <r>
    <x v="45"/>
    <x v="0"/>
    <s v="VIS 4479"/>
    <n v="3543"/>
    <n v="3543"/>
    <n v="0"/>
    <s v="Bank Transfer"/>
    <d v="2025-07-10T00:00:00"/>
    <s v="MMT/IMPS/519106336649"/>
    <m/>
  </r>
  <r>
    <x v="45"/>
    <x v="7"/>
    <s v="25-26D01006921"/>
    <n v="8424"/>
    <n v="8424"/>
    <n v="0"/>
    <s v="Bank Transfer"/>
    <d v="2025-07-10T00:00:00"/>
    <s v="MMT/IMPS/51906336657"/>
    <m/>
  </r>
  <r>
    <x v="46"/>
    <x v="13"/>
    <s v="25-26D03006442 1/1"/>
    <n v="1584"/>
    <n v="1584"/>
    <n v="0"/>
    <s v="Bank Transfer"/>
    <d v="2025-07-10T00:00:00"/>
    <s v="MMT/IMPS/519106336624"/>
    <m/>
  </r>
  <r>
    <x v="46"/>
    <x v="0"/>
    <s v="VIS 4534"/>
    <n v="2986"/>
    <n v="2986"/>
    <n v="0"/>
    <s v="Bank Transfer"/>
    <d v="2025-07-10T00:00:00"/>
    <s v="MMT/IMPS/519106336649"/>
    <m/>
  </r>
  <r>
    <x v="47"/>
    <x v="2"/>
    <s v="D01000856 1/1"/>
    <n v="8187"/>
    <n v="8187"/>
    <n v="0"/>
    <s v="Bank Transfer"/>
    <d v="2025-07-10T00:00:00"/>
    <s v="MMT/IMPS/51910637205"/>
    <m/>
  </r>
  <r>
    <x v="47"/>
    <x v="4"/>
    <n v="44"/>
    <n v="930"/>
    <n v="930"/>
    <n v="0"/>
    <s v="Bank Transfer"/>
    <d v="2025-07-10T00:00:00"/>
    <s v="MMT/IMPS/519106337232"/>
    <m/>
  </r>
  <r>
    <x v="47"/>
    <x v="16"/>
    <n v="448"/>
    <n v="5201"/>
    <n v="5201"/>
    <n v="0"/>
    <s v="Bank Transfer"/>
    <d v="2025-07-10T00:00:00"/>
    <s v="MMT/IMPS/519106336629"/>
    <m/>
  </r>
  <r>
    <x v="48"/>
    <x v="3"/>
    <s v="SI/03400/2025-26"/>
    <n v="3360"/>
    <n v="3360"/>
    <n v="0"/>
    <s v="Bank Transfer"/>
    <d v="2025-07-10T00:00:00"/>
    <s v="MMT/IMPS/519106336645"/>
    <m/>
  </r>
  <r>
    <x v="48"/>
    <x v="0"/>
    <s v="VIS 4897"/>
    <n v="19851"/>
    <n v="19851"/>
    <n v="0"/>
    <s v="Bank Transfer"/>
    <d v="2025-07-10T00:00:00"/>
    <s v="MMT/IMPS/519106336649"/>
    <m/>
  </r>
  <r>
    <x v="49"/>
    <x v="7"/>
    <s v="25-26D01008178"/>
    <n v="7020"/>
    <n v="7020"/>
    <n v="0"/>
    <s v="Bank Transfer"/>
    <d v="2025-08-13T00:00:00"/>
    <s v="MMT/IMPS/522506453356"/>
    <m/>
  </r>
  <r>
    <x v="49"/>
    <x v="11"/>
    <s v="D01002308"/>
    <n v="2062"/>
    <n v="2062"/>
    <n v="0"/>
    <s v="Bank Transfer"/>
    <d v="2025-08-13T00:00:00"/>
    <s v="MMT/IMPS/522506452370"/>
    <m/>
  </r>
  <r>
    <x v="50"/>
    <x v="0"/>
    <s v="VIS5124"/>
    <n v="21503"/>
    <n v="21503"/>
    <n v="0"/>
    <s v="Bank Transfer"/>
    <d v="2025-08-13T00:00:00"/>
    <s v="MMT/IMPS/522506453347"/>
    <m/>
  </r>
  <r>
    <x v="51"/>
    <x v="11"/>
    <s v="D01002391 1/1"/>
    <n v="1496"/>
    <n v="1496"/>
    <n v="0"/>
    <s v="Bank Transfer"/>
    <d v="2025-08-13T00:00:00"/>
    <s v="MMT/IMPS/522506452370"/>
    <m/>
  </r>
  <r>
    <x v="52"/>
    <x v="4"/>
    <n v="52"/>
    <n v="1170"/>
    <n v="1170"/>
    <n v="0"/>
    <s v="Bank Transfer"/>
    <d v="2025-08-13T00:00:00"/>
    <s v="MMT/IMPS/522506452371"/>
    <m/>
  </r>
  <r>
    <x v="53"/>
    <x v="0"/>
    <s v="VIS 5580"/>
    <n v="23360"/>
    <n v="23360"/>
    <n v="0"/>
    <s v="Bank Transfer"/>
    <d v="2025-08-13T00:00:00"/>
    <s v="MMT/IMPS/522506453347"/>
    <m/>
  </r>
  <r>
    <x v="54"/>
    <x v="2"/>
    <s v="D01001079 1/1"/>
    <n v="3731"/>
    <n v="3731"/>
    <n v="0"/>
    <s v="Bank Transfer"/>
    <d v="2025-08-13T00:00:00"/>
    <s v="MMT/IMPS/522506452360"/>
    <m/>
  </r>
  <r>
    <x v="55"/>
    <x v="2"/>
    <s v="D01001083 1/1"/>
    <n v="15580"/>
    <n v="15580"/>
    <n v="0"/>
    <s v="Bank Transfer"/>
    <d v="2025-08-13T00:00:00"/>
    <s v="MMT/IMPS/522506452360"/>
    <m/>
  </r>
  <r>
    <x v="56"/>
    <x v="4"/>
    <n v="54"/>
    <n v="1495"/>
    <n v="1495"/>
    <n v="0"/>
    <s v="Bank Transfer"/>
    <d v="2025-08-13T00:00:00"/>
    <s v="MMT/IMPS/522506452371"/>
    <m/>
  </r>
  <r>
    <x v="57"/>
    <x v="13"/>
    <s v="25-26D03008208 1/1"/>
    <n v="1831"/>
    <n v="1831"/>
    <n v="0"/>
    <s v="Bank Transfer"/>
    <d v="2025-08-13T00:00:00"/>
    <s v="MMT/IMPS/522506452351"/>
    <m/>
  </r>
  <r>
    <x v="54"/>
    <x v="6"/>
    <s v="25-26D5936 1/1"/>
    <n v="6040"/>
    <n v="6040"/>
    <n v="0"/>
    <s v="Bank Transfer"/>
    <d v="2025-08-13T00:00:00"/>
    <s v="MMT/IMPS/522506453324"/>
    <m/>
  </r>
  <r>
    <x v="54"/>
    <x v="7"/>
    <s v="25-26D01008958"/>
    <n v="7020"/>
    <n v="7020"/>
    <n v="0"/>
    <s v="Bank Transfer"/>
    <d v="2025-08-13T00:00:00"/>
    <s v="MMT/IMPS/522506453356"/>
    <m/>
  </r>
  <r>
    <x v="58"/>
    <x v="0"/>
    <s v="VIS 6143"/>
    <n v="6027"/>
    <n v="6027"/>
    <n v="0"/>
    <s v="Bank Transfer"/>
    <d v="2025-08-13T00:00:00"/>
    <s v="MMT/IMPS/522506453347"/>
    <m/>
  </r>
  <r>
    <x v="56"/>
    <x v="0"/>
    <s v="VIS 5990"/>
    <n v="27223"/>
    <n v="27223"/>
    <n v="0"/>
    <s v="Bank Transfer"/>
    <d v="2025-08-13T00:00:00"/>
    <s v="MMT/IMPS/522506453347"/>
    <m/>
  </r>
  <r>
    <x v="59"/>
    <x v="11"/>
    <s v="D01002725 1/1"/>
    <n v="5600"/>
    <n v="5600"/>
    <n v="0"/>
    <s v="Bank Transfer"/>
    <d v="2025-08-13T00:00:00"/>
    <s v="MMT/IMPS/522506452370"/>
    <m/>
  </r>
  <r>
    <x v="60"/>
    <x v="15"/>
    <s v="D01002117 1/1"/>
    <n v="16722"/>
    <n v="16722"/>
    <n v="0"/>
    <s v="Bank Transfer"/>
    <d v="2025-08-13T00:00:00"/>
    <s v="MMT/IMPS/522506453335"/>
    <m/>
  </r>
  <r>
    <x v="61"/>
    <x v="7"/>
    <s v="25-26D01009556"/>
    <n v="8424"/>
    <n v="8424"/>
    <n v="0"/>
    <s v="Bank Transfer"/>
    <d v="2025-08-13T00:00:00"/>
    <s v="MMT/IMPS/522506453356"/>
    <m/>
  </r>
  <r>
    <x v="61"/>
    <x v="2"/>
    <s v="D01001161"/>
    <n v="8195"/>
    <n v="8195"/>
    <n v="0"/>
    <s v="Bank Transfer"/>
    <d v="2025-08-13T00:00:00"/>
    <s v="MMT/IMPS/522506452360"/>
    <m/>
  </r>
  <r>
    <x v="62"/>
    <x v="0"/>
    <s v="VIS 6432"/>
    <n v="15863"/>
    <n v="15863"/>
    <n v="0"/>
    <s v="Bank Transfer"/>
    <d v="2025-08-13T00:00:00"/>
    <s v="MMT/IMPS/522506453347"/>
    <m/>
  </r>
  <r>
    <x v="63"/>
    <x v="1"/>
    <n v="1638"/>
    <n v="1036"/>
    <n v="1036"/>
    <n v="0"/>
    <s v="Gpay"/>
    <m/>
    <m/>
    <m/>
  </r>
  <r>
    <x v="63"/>
    <x v="7"/>
    <s v="25-26 D01010529"/>
    <n v="7020"/>
    <n v="7020"/>
    <n v="0"/>
    <s v="Bank Transfer"/>
    <d v="2025-09-07T00:00:00"/>
    <s v="MMT/IMPS/525017208721"/>
    <m/>
  </r>
  <r>
    <x v="63"/>
    <x v="10"/>
    <s v="SA 006617"/>
    <n v="3817"/>
    <n v="3817"/>
    <n v="0"/>
    <s v="Bank Transfer"/>
    <d v="2025-09-07T00:00:00"/>
    <s v="MMT/IMPS/525017208585"/>
    <m/>
  </r>
  <r>
    <x v="64"/>
    <x v="0"/>
    <s v="VIS 6993"/>
    <n v="17867"/>
    <n v="17867"/>
    <n v="0"/>
    <s v="Bank Transfer"/>
    <d v="2025-09-07T00:00:00"/>
    <s v="MMT/IMPS/525017208703"/>
    <m/>
  </r>
  <r>
    <x v="65"/>
    <x v="2"/>
    <s v="D01001314"/>
    <n v="15580"/>
    <n v="15580"/>
    <n v="0"/>
    <s v="Bank Transfer"/>
    <d v="2026-01-04T00:00:00"/>
    <s v="MMT/IMPS/600417598247"/>
    <m/>
  </r>
  <r>
    <x v="66"/>
    <x v="0"/>
    <s v="VIS 7447"/>
    <n v="15539"/>
    <n v="15539"/>
    <n v="0"/>
    <s v="Bank Transfer"/>
    <d v="2025-09-07T00:00:00"/>
    <s v="MMT/IMPS/525017208703"/>
    <m/>
  </r>
  <r>
    <x v="67"/>
    <x v="7"/>
    <s v="25-26D01011327"/>
    <n v="7020"/>
    <n v="7020"/>
    <n v="0"/>
    <s v="Bank Transfer"/>
    <d v="2025-09-07T00:00:00"/>
    <s v="MMT/IMPS/525017208721"/>
    <m/>
  </r>
  <r>
    <x v="68"/>
    <x v="4"/>
    <n v="68"/>
    <n v="910"/>
    <n v="910"/>
    <n v="0"/>
    <s v="Bank Transfer"/>
    <d v="2025-09-07T00:00:00"/>
    <s v="MMT/IMPS/525017209406"/>
    <m/>
  </r>
  <r>
    <x v="68"/>
    <x v="4"/>
    <n v="69"/>
    <n v="1520"/>
    <n v="1520"/>
    <n v="0"/>
    <s v="Bank Transfer"/>
    <d v="2025-09-07T00:00:00"/>
    <s v="MMT/IMPS/525017209406"/>
    <m/>
  </r>
  <r>
    <x v="69"/>
    <x v="4"/>
    <n v="70"/>
    <n v="1170"/>
    <n v="1170"/>
    <n v="0"/>
    <s v="Bank Transfer"/>
    <d v="2025-09-07T00:00:00"/>
    <s v="MMT/IMPS/525017209406"/>
    <m/>
  </r>
  <r>
    <x v="70"/>
    <x v="15"/>
    <s v="D01002591 1/1"/>
    <n v="12525"/>
    <n v="12525"/>
    <n v="0"/>
    <s v="Bank Transfer"/>
    <d v="2025-09-07T00:00:00"/>
    <s v="MMT/IMPS/525017208603"/>
    <m/>
  </r>
  <r>
    <x v="70"/>
    <x v="7"/>
    <s v="25-26D01011676"/>
    <n v="8424"/>
    <n v="8424"/>
    <n v="0"/>
    <s v="Bank Transfer"/>
    <d v="2025-09-07T00:00:00"/>
    <s v="MMT/IMPS/525017208721"/>
    <m/>
  </r>
  <r>
    <x v="71"/>
    <x v="2"/>
    <s v="D01001410 1/1"/>
    <n v="2970"/>
    <n v="2970"/>
    <n v="0"/>
    <s v="Bank Transfer"/>
    <d v="2026-01-04T00:00:00"/>
    <s v="MMT/IMPS/600417598247"/>
    <m/>
  </r>
  <r>
    <x v="72"/>
    <x v="16"/>
    <n v="780"/>
    <n v="12761"/>
    <n v="12761"/>
    <n v="0"/>
    <s v="Bank Transfer"/>
    <d v="2025-09-07T00:00:00"/>
    <s v="MMT/IMPS/525017208618"/>
    <m/>
  </r>
  <r>
    <x v="73"/>
    <x v="2"/>
    <s v="D01001431 1/1"/>
    <n v="1485"/>
    <n v="1485"/>
    <n v="0"/>
    <s v="Bank Transfer"/>
    <d v="2026-01-04T00:00:00"/>
    <s v="MMT/IMPS/600417598247"/>
    <m/>
  </r>
  <r>
    <x v="74"/>
    <x v="6"/>
    <s v="25-26D8148 1/1"/>
    <n v="6560"/>
    <n v="6560"/>
    <n v="0"/>
    <s v="Bank Transfer"/>
    <d v="2025-09-07T00:00:00"/>
    <s v="MMT/IMPS/525017209191"/>
    <m/>
  </r>
  <r>
    <x v="75"/>
    <x v="2"/>
    <s v="D01001453 1/1"/>
    <n v="21571"/>
    <n v="21571"/>
    <n v="0"/>
    <s v="Bank Transfer"/>
    <d v="2026-01-04T00:00:00"/>
    <s v="MMT/IMPS/600417598247"/>
    <m/>
  </r>
  <r>
    <x v="75"/>
    <x v="2"/>
    <s v="D01001463 1/1"/>
    <n v="17180"/>
    <n v="17180"/>
    <n v="0"/>
    <s v="Bank Transfer"/>
    <d v="2026-01-04T00:00:00"/>
    <s v="MMT/IMPS/600417598247"/>
    <m/>
  </r>
  <r>
    <x v="76"/>
    <x v="16"/>
    <n v="805"/>
    <n v="6720"/>
    <n v="6720"/>
    <n v="0"/>
    <s v="Bank Transfer"/>
    <d v="2025-09-07T00:00:00"/>
    <s v="MMT/IMPS/525017208618"/>
    <m/>
  </r>
  <r>
    <x v="77"/>
    <x v="0"/>
    <n v="8408"/>
    <n v="9409"/>
    <n v="9409"/>
    <n v="0"/>
    <s v="Bank Transfer"/>
    <d v="2025-09-07T00:00:00"/>
    <s v="MMT/IMPS/525017208703"/>
    <m/>
  </r>
  <r>
    <x v="77"/>
    <x v="0"/>
    <n v="8395"/>
    <n v="34774"/>
    <n v="34774"/>
    <n v="0"/>
    <s v="Bank Transfer"/>
    <d v="2025-09-07T00:00:00"/>
    <s v="MMT/IMPS/525017208703"/>
    <m/>
  </r>
  <r>
    <x v="77"/>
    <x v="3"/>
    <s v="SI/05963/2025-26"/>
    <n v="23520"/>
    <n v="23520"/>
    <n v="0"/>
    <s v="Bank Transfer"/>
    <d v="2025-09-07T00:00:00"/>
    <s v="MMT/IMPS/525017209356"/>
    <m/>
  </r>
  <r>
    <x v="78"/>
    <x v="10"/>
    <s v="SA 008008"/>
    <n v="712"/>
    <n v="712"/>
    <n v="0"/>
    <s v="Bank Transfer"/>
    <d v="2025-10-08T00:00:00"/>
    <s v="MMT/IMPS/528106274171"/>
    <m/>
  </r>
  <r>
    <x v="79"/>
    <x v="4"/>
    <n v="76"/>
    <n v="910"/>
    <n v="910"/>
    <n v="0"/>
    <s v="Bank Transfer"/>
    <d v="2025-10-08T00:00:00"/>
    <s v="MMT/IMPS/528106274262"/>
    <m/>
  </r>
  <r>
    <x v="79"/>
    <x v="7"/>
    <s v="25-26D01012748"/>
    <n v="7020"/>
    <n v="7020"/>
    <n v="0"/>
    <s v="Bank Transfer"/>
    <d v="2025-10-08T00:00:00"/>
    <s v="MMT/IMPS/528106273712"/>
    <m/>
  </r>
  <r>
    <x v="78"/>
    <x v="11"/>
    <s v="D01003653 1/1"/>
    <n v="1650"/>
    <n v="1650"/>
    <n v="0"/>
    <s v="Bank Transfer"/>
    <d v="2025-10-08T00:00:00"/>
    <s v="MMT/IMPS/528106274256"/>
    <m/>
  </r>
  <r>
    <x v="80"/>
    <x v="7"/>
    <s v="25-26D01013061"/>
    <n v="9336"/>
    <n v="9336"/>
    <n v="0"/>
    <s v="Bank Transfer"/>
    <d v="2025-10-08T00:00:00"/>
    <s v="MMT/IMPS/528106273712"/>
    <m/>
  </r>
  <r>
    <x v="81"/>
    <x v="6"/>
    <s v="25-26D8925 1/1"/>
    <n v="6449"/>
    <n v="6449"/>
    <n v="0"/>
    <s v="Bank Transfer"/>
    <d v="2025-10-08T00:00:00"/>
    <s v="MMT/IMPS/528106273607"/>
    <m/>
  </r>
  <r>
    <x v="82"/>
    <x v="7"/>
    <s v="25-26D01013373"/>
    <n v="7020"/>
    <n v="7020"/>
    <n v="0"/>
    <s v="Bank Transfer"/>
    <d v="2025-10-08T00:00:00"/>
    <s v="MMT/IMPS/528106273712"/>
    <m/>
  </r>
  <r>
    <x v="83"/>
    <x v="6"/>
    <s v="25-26D9177 1/1"/>
    <n v="1800"/>
    <n v="1800"/>
    <n v="0"/>
    <s v="Bank Transfer"/>
    <d v="2025-10-08T00:00:00"/>
    <s v="MMT/IMPS/528106273607"/>
    <m/>
  </r>
  <r>
    <x v="82"/>
    <x v="5"/>
    <n v="3003"/>
    <n v="4447"/>
    <n v="4447"/>
    <n v="0"/>
    <s v="Bank Transfer"/>
    <d v="2025-10-08T00:00:00"/>
    <s v="MMT/IMPS/528106274192"/>
    <m/>
  </r>
  <r>
    <x v="82"/>
    <x v="10"/>
    <s v="SA 008521"/>
    <n v="348"/>
    <n v="348"/>
    <n v="0"/>
    <s v="Bank Transfer"/>
    <d v="2025-10-08T00:00:00"/>
    <s v="MMT/IMPS/528106274171"/>
    <m/>
  </r>
  <r>
    <x v="84"/>
    <x v="1"/>
    <n v="2133"/>
    <n v="1520"/>
    <n v="1520"/>
    <n v="0"/>
    <s v="Bank Transfer"/>
    <d v="2025-10-08T00:00:00"/>
    <s v="MMT/IMPS/528106274210"/>
    <m/>
  </r>
  <r>
    <x v="84"/>
    <x v="7"/>
    <s v="25-26D01013611"/>
    <n v="21784"/>
    <n v="21784"/>
    <n v="0"/>
    <s v="Bank Transfer"/>
    <d v="2025-10-08T00:00:00"/>
    <s v="MMT/IMPS/528106273712"/>
    <m/>
  </r>
  <r>
    <x v="85"/>
    <x v="7"/>
    <s v="25-26D01014011"/>
    <n v="8424"/>
    <n v="8424"/>
    <n v="0"/>
    <s v="Bank Transfer"/>
    <d v="2025-10-08T00:00:00"/>
    <s v="MMT/IMPS/528106273712"/>
    <m/>
  </r>
  <r>
    <x v="86"/>
    <x v="10"/>
    <s v="SA 009064"/>
    <n v="7245"/>
    <n v="7245"/>
    <n v="0"/>
    <s v="Bank Transfer"/>
    <d v="2025-10-08T00:00:00"/>
    <s v="MMT/IMPS/528106274171"/>
    <m/>
  </r>
  <r>
    <x v="87"/>
    <x v="2"/>
    <s v="D01001672"/>
    <n v="6283"/>
    <n v="6283"/>
    <n v="0"/>
    <s v="Bank Transfer"/>
    <d v="2025-10-08T00:00:00"/>
    <s v="MMT/IMPS528106273646"/>
    <m/>
  </r>
  <r>
    <x v="87"/>
    <x v="4"/>
    <n v="81"/>
    <n v="925"/>
    <n v="925"/>
    <n v="0"/>
    <s v="Bank Transfer"/>
    <d v="2025-10-08T00:00:00"/>
    <s v="MMT/IMPS/528106274262"/>
    <m/>
  </r>
  <r>
    <x v="87"/>
    <x v="0"/>
    <s v="VIS 9774"/>
    <n v="46896"/>
    <n v="46896"/>
    <n v="0"/>
    <s v="Bank Transfer"/>
    <d v="2025-10-08T00:00:00"/>
    <s v="MMT/IMPS/528106274222"/>
    <m/>
  </r>
  <r>
    <x v="87"/>
    <x v="0"/>
    <s v="VIS 7587"/>
    <n v="57315"/>
    <n v="57315"/>
    <n v="0"/>
    <s v="Bank Transfer"/>
    <d v="2025-10-08T00:00:00"/>
    <s v="MMT/IMPS/528106274222"/>
    <m/>
  </r>
  <r>
    <x v="88"/>
    <x v="1"/>
    <n v="2257"/>
    <n v="2325"/>
    <n v="2325"/>
    <n v="0"/>
    <s v="Bank Transfer"/>
    <d v="2025-10-08T00:00:00"/>
    <s v="MMT/IMPS/528106274210"/>
    <m/>
  </r>
  <r>
    <x v="88"/>
    <x v="13"/>
    <s v="25-26D03013133 1/1"/>
    <n v="2473"/>
    <n v="2473"/>
    <n v="0"/>
    <s v="Bank Transfer"/>
    <d v="2025-10-08T00:00:00"/>
    <s v="MMT/IMPS/528106273616"/>
    <m/>
  </r>
  <r>
    <x v="89"/>
    <x v="1"/>
    <n v="2285"/>
    <n v="641"/>
    <n v="641"/>
    <n v="0"/>
    <s v="Bank Transfer"/>
    <d v="2025-10-08T00:00:00"/>
    <s v="MMT/IMPS/528106274210"/>
    <m/>
  </r>
  <r>
    <x v="90"/>
    <x v="0"/>
    <s v="VIS 10030"/>
    <n v="6455"/>
    <n v="6455"/>
    <n v="0"/>
    <s v="Bank Transfer"/>
    <d v="2025-10-08T00:00:00"/>
    <s v="MMT/IMPS/528106274222"/>
    <m/>
  </r>
  <r>
    <x v="90"/>
    <x v="17"/>
    <n v="148"/>
    <n v="12500"/>
    <n v="12500"/>
    <n v="0"/>
    <s v="Gpay"/>
    <d v="2025-10-15T00:00:00"/>
    <s v="Gpay"/>
    <m/>
  </r>
  <r>
    <x v="90"/>
    <x v="3"/>
    <s v="sI/07013/2025-26"/>
    <n v="22050"/>
    <n v="22050"/>
    <n v="0"/>
    <s v="Bank Transfer"/>
    <d v="2025-10-08T00:00:00"/>
    <s v="MMT/IMPS/528106273681"/>
    <m/>
  </r>
  <r>
    <x v="91"/>
    <x v="16"/>
    <n v="1043"/>
    <n v="20733"/>
    <n v="20733"/>
    <n v="0"/>
    <s v="Bank Transfer"/>
    <d v="2025-10-08T00:00:00"/>
    <s v="MMT/IMPS528106274206"/>
    <m/>
  </r>
  <r>
    <x v="92"/>
    <x v="4"/>
    <n v="85"/>
    <n v="910"/>
    <n v="910"/>
    <n v="0"/>
    <s v="Bank Transfer"/>
    <d v="2025-10-08T00:00:00"/>
    <s v="MMT/IMPS/528106274262"/>
    <m/>
  </r>
  <r>
    <x v="92"/>
    <x v="7"/>
    <s v="25-26D01015004"/>
    <n v="7898"/>
    <n v="7898"/>
    <n v="0"/>
    <s v="Bank Transfer"/>
    <d v="2025-10-08T00:00:00"/>
    <s v="MMT/IMPS/528106273712"/>
    <m/>
  </r>
  <r>
    <x v="92"/>
    <x v="0"/>
    <s v="VIS 10370"/>
    <n v="38277"/>
    <n v="38277"/>
    <n v="0"/>
    <s v="Bank Transfer"/>
    <d v="2025-10-08T00:00:00"/>
    <s v="MMT/IMPS/528106274222"/>
    <m/>
  </r>
  <r>
    <x v="92"/>
    <x v="15"/>
    <s v="D01003475"/>
    <n v="11745"/>
    <n v="11745"/>
    <n v="0"/>
    <s v="Bank Transfer"/>
    <d v="2025-10-08T00:00:00"/>
    <s v="MMT/IMPS/528106274175"/>
    <m/>
  </r>
  <r>
    <x v="93"/>
    <x v="0"/>
    <s v="VIS 10398"/>
    <n v="15222"/>
    <n v="15222"/>
    <n v="0"/>
    <s v="Bank Transfer"/>
    <d v="2025-11-11T00:00:00"/>
    <s v="MMT/IMPS/531519899803"/>
    <m/>
  </r>
  <r>
    <x v="94"/>
    <x v="2"/>
    <s v="D01001793 1/1"/>
    <n v="5972"/>
    <n v="5972"/>
    <n v="0"/>
    <s v="Bank Transfer"/>
    <d v="2025-11-11T00:00:00"/>
    <s v="MMT/IMPS/531519899622"/>
    <m/>
  </r>
  <r>
    <x v="94"/>
    <x v="3"/>
    <s v="SI/07210/2025-26"/>
    <n v="3245"/>
    <n v="3245"/>
    <n v="0"/>
    <s v="Bank Transfer"/>
    <d v="2025-11-11T00:00:00"/>
    <s v="MMT/IMPS/531519898254"/>
    <m/>
  </r>
  <r>
    <x v="95"/>
    <x v="1"/>
    <n v="2394"/>
    <n v="2730"/>
    <n v="2730"/>
    <n v="0"/>
    <s v="Gpay"/>
    <d v="2025-12-10T00:00:00"/>
    <m/>
    <m/>
  </r>
  <r>
    <x v="96"/>
    <x v="7"/>
    <s v="25-26d01015588"/>
    <n v="7898"/>
    <n v="7898"/>
    <n v="0"/>
    <s v="Bank Transfer"/>
    <d v="2025-11-11T00:00:00"/>
    <s v="MMT/IMPS/531519899867"/>
    <m/>
  </r>
  <r>
    <x v="96"/>
    <x v="2"/>
    <s v="D01001849 1/1"/>
    <n v="14606"/>
    <n v="14606"/>
    <n v="0"/>
    <s v="Bank Transfer"/>
    <d v="2025-11-11T00:00:00"/>
    <s v="MMT/IMPS/531519899622"/>
    <m/>
  </r>
  <r>
    <x v="97"/>
    <x v="0"/>
    <s v="VIS 10801"/>
    <n v="295"/>
    <n v="295"/>
    <n v="0"/>
    <s v="Bank Transfer"/>
    <d v="2025-11-11T00:00:00"/>
    <s v="MMT/IMPS/531519899803"/>
    <m/>
  </r>
  <r>
    <x v="97"/>
    <x v="0"/>
    <s v="VIS 10802"/>
    <n v="15212"/>
    <n v="15212"/>
    <n v="0"/>
    <s v="Bank Transfer"/>
    <d v="2025-11-11T00:00:00"/>
    <s v="MMT/IMPS/531519899803"/>
    <m/>
  </r>
  <r>
    <x v="97"/>
    <x v="13"/>
    <s v="25-26D03014327"/>
    <n v="2266"/>
    <n v="2266"/>
    <n v="0"/>
    <s v="Bank Transfer"/>
    <d v="2025-11-11T00:00:00"/>
    <s v="MMT/IMPS/531519898181"/>
    <m/>
  </r>
  <r>
    <x v="98"/>
    <x v="0"/>
    <s v="VIS 11098"/>
    <n v="11381"/>
    <n v="11381"/>
    <n v="0"/>
    <s v="Bank Transfer"/>
    <d v="2025-11-11T00:00:00"/>
    <s v="MMT/IMPS/531519899803"/>
    <m/>
  </r>
  <r>
    <x v="98"/>
    <x v="7"/>
    <s v="25-26D01016142"/>
    <n v="9072"/>
    <n v="9072"/>
    <n v="0"/>
    <s v="Bank Transfer"/>
    <d v="2025-11-11T00:00:00"/>
    <s v="MMT/IMPS/531519899867"/>
    <m/>
  </r>
  <r>
    <x v="99"/>
    <x v="7"/>
    <s v="25-26D01016442"/>
    <n v="7898"/>
    <n v="7898"/>
    <n v="0"/>
    <s v="Bank Transfer"/>
    <d v="2025-11-11T00:00:00"/>
    <s v="MMT/IMPS/531519899867"/>
    <m/>
  </r>
  <r>
    <x v="100"/>
    <x v="4"/>
    <n v="96"/>
    <n v="901"/>
    <n v="901"/>
    <n v="0"/>
    <s v="Bank Transfer"/>
    <d v="2025-11-11T00:00:00"/>
    <s v="MMT/IMPS/531519899902"/>
    <m/>
  </r>
  <r>
    <x v="99"/>
    <x v="10"/>
    <s v="SA 010675"/>
    <n v="2337"/>
    <n v="2337"/>
    <n v="0"/>
    <s v="Bank Transfer"/>
    <d v="2025-11-11T00:00:00"/>
    <s v="MMT/IMPS/531519898172"/>
    <m/>
  </r>
  <r>
    <x v="101"/>
    <x v="8"/>
    <s v="O01003272"/>
    <n v="1500"/>
    <n v="1500"/>
    <n v="0"/>
    <s v="Bank Transfer"/>
    <d v="2025-11-11T00:00:00"/>
    <s v="MMT/IMPS/531519899493"/>
    <m/>
  </r>
  <r>
    <x v="101"/>
    <x v="13"/>
    <s v="25-26D03015228"/>
    <n v="6183"/>
    <n v="6183"/>
    <n v="0"/>
    <s v="Bank Transfer"/>
    <d v="2025-11-11T00:00:00"/>
    <s v="MMT/IMPS/531519898181"/>
    <m/>
  </r>
  <r>
    <x v="102"/>
    <x v="0"/>
    <s v="VIS 11605"/>
    <n v="8871"/>
    <n v="8871"/>
    <n v="0"/>
    <s v="Bank Transfer"/>
    <d v="2025-11-11T00:00:00"/>
    <s v="MMT/IMPS/531519899803"/>
    <m/>
  </r>
  <r>
    <x v="100"/>
    <x v="3"/>
    <s v="SI/08044/2025-26"/>
    <n v="22050"/>
    <n v="22050"/>
    <n v="0"/>
    <s v="Bank Transfer"/>
    <d v="2025-11-11T00:00:00"/>
    <s v="MMT/IMPS/531519898254"/>
    <m/>
  </r>
  <r>
    <x v="103"/>
    <x v="0"/>
    <s v="VIS 11640"/>
    <n v="32631"/>
    <n v="32631"/>
    <n v="0"/>
    <s v="Bank Transfer"/>
    <d v="2025-11-11T00:00:00"/>
    <s v="MMT/IMPS/531519899803"/>
    <m/>
  </r>
  <r>
    <x v="104"/>
    <x v="0"/>
    <s v="VIS 11742"/>
    <n v="567"/>
    <n v="567"/>
    <n v="0"/>
    <s v="Bank Transfer"/>
    <d v="2025-11-11T00:00:00"/>
    <s v="MMT/IMPS/531519899803"/>
    <m/>
  </r>
  <r>
    <x v="104"/>
    <x v="0"/>
    <s v="VIS 11741"/>
    <n v="1208"/>
    <n v="1208"/>
    <n v="0"/>
    <s v="Bank Transfer"/>
    <d v="2025-11-11T00:00:00"/>
    <s v="MMT/IMPS/531519899803"/>
    <m/>
  </r>
  <r>
    <x v="103"/>
    <x v="4"/>
    <n v="97"/>
    <n v="868"/>
    <n v="868"/>
    <n v="0"/>
    <s v="Bank Transfer"/>
    <d v="2025-11-11T00:00:00"/>
    <s v="MMT/IMPS/531519899902"/>
    <m/>
  </r>
  <r>
    <x v="105"/>
    <x v="2"/>
    <s v="D01002016 1/1"/>
    <n v="2461"/>
    <n v="2461"/>
    <n v="0"/>
    <s v="Bank Transfer"/>
    <d v="2025-11-11T00:00:00"/>
    <s v="MMT/IMPS/531519899622"/>
    <m/>
  </r>
  <r>
    <x v="105"/>
    <x v="0"/>
    <s v="VIS 11837"/>
    <n v="11428"/>
    <n v="11428"/>
    <n v="0"/>
    <s v="Bank Transfer"/>
    <d v="2025-11-11T00:00:00"/>
    <s v="MMT/IMPS/531519899803"/>
    <m/>
  </r>
  <r>
    <x v="106"/>
    <x v="11"/>
    <s v="D01004986 1/1"/>
    <n v="1467"/>
    <n v="1467"/>
    <n v="0"/>
    <s v="Bank Transfer"/>
    <d v="2025-11-11T00:00:00"/>
    <s v="MMT/IMPS/531519898276"/>
    <m/>
  </r>
  <r>
    <x v="107"/>
    <x v="7"/>
    <s v="25-26D01017490"/>
    <n v="7898"/>
    <n v="7898"/>
    <n v="0"/>
    <s v="Bank Transfer"/>
    <d v="2025-11-11T00:00:00"/>
    <s v="MMT/IMPS/531519899867"/>
    <m/>
  </r>
  <r>
    <x v="107"/>
    <x v="4"/>
    <n v="102"/>
    <n v="1520"/>
    <n v="1520"/>
    <n v="0"/>
    <s v="Bank Transfer"/>
    <d v="2025-11-11T00:00:00"/>
    <s v="MMT/IMPS/531519899902"/>
    <m/>
  </r>
  <r>
    <x v="108"/>
    <x v="10"/>
    <s v="SA 011273"/>
    <n v="361"/>
    <n v="361"/>
    <n v="0"/>
    <s v="Bank Transfer"/>
    <d v="2025-11-11T00:00:00"/>
    <s v="MMT/IMPS/531519898172"/>
    <m/>
  </r>
  <r>
    <x v="108"/>
    <x v="0"/>
    <s v="VIS 12009"/>
    <n v="5456"/>
    <n v="5456"/>
    <n v="0"/>
    <s v="Bank Transfer"/>
    <d v="2025-11-11T00:00:00"/>
    <s v="MMT/IMPS/531519899803"/>
    <m/>
  </r>
  <r>
    <x v="109"/>
    <x v="16"/>
    <n v="1289"/>
    <n v="8543"/>
    <n v="8543"/>
    <n v="0"/>
    <s v="Bank Transfer"/>
    <d v="2025-12-13T00:00:00"/>
    <s v="MMT/IMPS/534709635083"/>
    <m/>
  </r>
  <r>
    <x v="110"/>
    <x v="0"/>
    <s v="VIS 12416"/>
    <n v="11695"/>
    <n v="11695"/>
    <n v="0"/>
    <s v="Bank Transfer"/>
    <d v="2025-12-13T00:00:00"/>
    <s v="MMT/IMPS/534709634670"/>
    <m/>
  </r>
  <r>
    <x v="110"/>
    <x v="13"/>
    <s v="25-26D03016343"/>
    <n v="1717"/>
    <n v="1717"/>
    <n v="0"/>
    <s v="Bank Transfer"/>
    <d v="2025-12-13T00:00:00"/>
    <s v="MMT/IMPS/534709635063"/>
    <m/>
  </r>
  <r>
    <x v="111"/>
    <x v="10"/>
    <s v="SA 011941"/>
    <n v="824"/>
    <n v="824"/>
    <n v="0"/>
    <s v="Bank Transfer"/>
    <d v="2025-12-13T00:00:00"/>
    <s v="MMT/IMPS/534709635055"/>
    <m/>
  </r>
  <r>
    <x v="112"/>
    <x v="4"/>
    <n v="106"/>
    <n v="901"/>
    <n v="901"/>
    <n v="0"/>
    <s v="Bank Transfer"/>
    <d v="2025-12-13T00:00:00"/>
    <s v="MMT/IMPS/534709634698"/>
    <m/>
  </r>
  <r>
    <x v="112"/>
    <x v="7"/>
    <s v="25-26DO1018760"/>
    <n v="7898"/>
    <n v="7898"/>
    <n v="0"/>
    <s v="Bank Transfer"/>
    <d v="2025-12-13T00:00:00"/>
    <s v="MMT/IMPS/534709635113"/>
    <m/>
  </r>
  <r>
    <x v="113"/>
    <x v="0"/>
    <s v="VIS 12903"/>
    <n v="18596"/>
    <n v="18596"/>
    <n v="0"/>
    <s v="Bank Transfer"/>
    <d v="2025-12-13T00:00:00"/>
    <s v="MMT/IMPS/534709634670"/>
    <m/>
  </r>
  <r>
    <x v="113"/>
    <x v="13"/>
    <s v="25-26D03016965"/>
    <n v="6183"/>
    <n v="6183"/>
    <n v="0"/>
    <s v="Bank Transfer"/>
    <d v="2025-12-13T00:00:00"/>
    <s v="MMT/IMPS/534709635063"/>
    <m/>
  </r>
  <r>
    <x v="112"/>
    <x v="3"/>
    <s v="SI/08999/2025-26"/>
    <n v="1890"/>
    <n v="1890"/>
    <n v="0"/>
    <s v="Bank Transfer"/>
    <d v="2025-12-13T00:00:00"/>
    <s v="MMT/IMPS/534709634655"/>
    <m/>
  </r>
  <r>
    <x v="114"/>
    <x v="6"/>
    <s v="25-26D13478"/>
    <n v="4825"/>
    <n v="4825"/>
    <n v="0"/>
    <s v="Bank Transfer"/>
    <d v="2025-12-13T00:00:00"/>
    <s v="MMT/IMPS/534709634566"/>
    <m/>
  </r>
  <r>
    <x v="115"/>
    <x v="7"/>
    <s v="25-26D01019390"/>
    <n v="6581"/>
    <n v="6581"/>
    <n v="0"/>
    <s v="Bank Transfer"/>
    <d v="2025-12-13T00:00:00"/>
    <s v="MMT/IMPS/534709635113"/>
    <m/>
  </r>
  <r>
    <x v="116"/>
    <x v="0"/>
    <s v="VIS 13420"/>
    <n v="2286"/>
    <n v="2286"/>
    <n v="0"/>
    <s v="Bank Transfer"/>
    <d v="2025-12-13T00:00:00"/>
    <s v="MMT/IMPS/534709634670"/>
    <m/>
  </r>
  <r>
    <x v="116"/>
    <x v="6"/>
    <s v="25-26D13669 1/1"/>
    <n v="6650"/>
    <n v="6650"/>
    <n v="0"/>
    <s v="Bank Transfer"/>
    <d v="2025-12-13T00:00:00"/>
    <s v="MMT/IMPS/534709634566"/>
    <m/>
  </r>
  <r>
    <x v="117"/>
    <x v="16"/>
    <n v="1439"/>
    <n v="1463"/>
    <n v="1463"/>
    <n v="0"/>
    <s v="Bank Transfer"/>
    <d v="2025-12-13T00:00:00"/>
    <s v="MMT/IMPS/534709635083"/>
    <m/>
  </r>
  <r>
    <x v="118"/>
    <x v="0"/>
    <s v="VIS 13527"/>
    <n v="2490"/>
    <n v="2490"/>
    <n v="0"/>
    <s v="Bank Transfer"/>
    <d v="2025-12-13T00:00:00"/>
    <s v="MMT/IMPS/534709634670"/>
    <m/>
  </r>
  <r>
    <x v="119"/>
    <x v="16"/>
    <n v="1460"/>
    <n v="12814"/>
    <n v="12814"/>
    <n v="0"/>
    <s v="Bank Transfer"/>
    <d v="2025-12-13T00:00:00"/>
    <s v="MMT/IMPS/534709635083"/>
    <m/>
  </r>
  <r>
    <x v="119"/>
    <x v="0"/>
    <s v="VIS 13607"/>
    <n v="17283"/>
    <n v="17283"/>
    <n v="0"/>
    <s v="Bank Transfer"/>
    <d v="2025-12-13T00:00:00"/>
    <s v="MMT/IMPS/534709634670"/>
    <m/>
  </r>
  <r>
    <x v="119"/>
    <x v="0"/>
    <s v="VIS 13623"/>
    <n v="12679"/>
    <n v="12679"/>
    <n v="0"/>
    <s v="Bank Transfer"/>
    <d v="2025-12-13T00:00:00"/>
    <s v="MMT/IMPS/534709634670"/>
    <m/>
  </r>
  <r>
    <x v="119"/>
    <x v="7"/>
    <s v="25-26D01019864"/>
    <n v="7898"/>
    <n v="7898"/>
    <n v="0"/>
    <s v="Bank Transfer"/>
    <d v="2025-12-13T00:00:00"/>
    <s v="MMT/IMPS/534709635113"/>
    <m/>
  </r>
  <r>
    <x v="119"/>
    <x v="2"/>
    <s v="D01002295"/>
    <n v="4061"/>
    <n v="4061"/>
    <n v="0"/>
    <s v="Bank Transfer"/>
    <d v="2025-12-13T00:00:00"/>
    <s v="MMT/IMPS/534709634618"/>
    <m/>
  </r>
  <r>
    <x v="120"/>
    <x v="0"/>
    <s v="VIS 13752"/>
    <n v="6407"/>
    <n v="6407"/>
    <n v="0"/>
    <s v="Bank Transfer"/>
    <d v="2025-12-13T00:00:00"/>
    <s v="MMT/IMPS/534709634670"/>
    <m/>
  </r>
  <r>
    <x v="121"/>
    <x v="4"/>
    <n v="111"/>
    <n v="2051"/>
    <n v="2051"/>
    <n v="0"/>
    <s v="Bank Transfer"/>
    <d v="2025-12-13T00:00:00"/>
    <s v="MMT/IMPS/534709634698"/>
    <m/>
  </r>
  <r>
    <x v="121"/>
    <x v="10"/>
    <s v="SA 013051"/>
    <n v="1312"/>
    <n v="1312"/>
    <n v="0"/>
    <s v="Bank Transfer"/>
    <d v="2025-12-13T00:00:00"/>
    <s v="MMT/IMPS/534709635055"/>
    <m/>
  </r>
  <r>
    <x v="122"/>
    <x v="16"/>
    <n v="1495"/>
    <n v="21000"/>
    <n v="21000"/>
    <n v="0"/>
    <s v="Bank Transfer"/>
    <d v="2025-12-13T00:00:00"/>
    <s v="MMT/IMPS/534709635083"/>
    <m/>
  </r>
  <r>
    <x v="123"/>
    <x v="16"/>
    <n v="1505"/>
    <n v="3901"/>
    <n v="3901"/>
    <n v="0"/>
    <s v="Bank Transfer"/>
    <d v="2026-01-04T00:00:00"/>
    <s v="MMT/IMPS/600417598282"/>
    <m/>
  </r>
  <r>
    <x v="123"/>
    <x v="2"/>
    <s v="D01002339 1/1"/>
    <n v="14606"/>
    <n v="14606"/>
    <n v="0"/>
    <s v="Bank Transfer"/>
    <d v="2026-01-04T00:00:00"/>
    <s v="MMT/IMPS/600417598247"/>
    <m/>
  </r>
  <r>
    <x v="124"/>
    <x v="16"/>
    <n v="1531"/>
    <n v="5363"/>
    <n v="5363"/>
    <n v="0"/>
    <s v="Bank Transfer"/>
    <d v="2026-01-04T00:00:00"/>
    <s v="MMT/IMPS/600417598282"/>
    <m/>
  </r>
  <r>
    <x v="125"/>
    <x v="0"/>
    <s v="VIS 14387"/>
    <n v="13466"/>
    <n v="13466"/>
    <n v="0"/>
    <s v="Bank Transfer"/>
    <d v="2026-01-04T00:00:00"/>
    <s v="MMT/IMPS/600417599078"/>
    <m/>
  </r>
  <r>
    <x v="125"/>
    <x v="15"/>
    <s v="D01004787 1/1"/>
    <n v="11720"/>
    <n v="11720"/>
    <n v="0"/>
    <s v="Bank Transfer"/>
    <d v="2026-01-04T00:00:00"/>
    <s v="MMT/IMPS/600417598206"/>
    <m/>
  </r>
  <r>
    <x v="126"/>
    <x v="10"/>
    <s v="SA 013626"/>
    <n v="2371"/>
    <n v="2371"/>
    <n v="0"/>
    <s v="Bank Transfer"/>
    <d v="2026-01-04T00:00:00"/>
    <s v="MMT/IMPS/600417598179"/>
    <m/>
  </r>
  <r>
    <x v="127"/>
    <x v="7"/>
    <s v="25-26D01021265"/>
    <n v="6581"/>
    <n v="6581"/>
    <n v="0"/>
    <s v="Bank Transfer"/>
    <d v="2026-01-04T00:00:00"/>
    <s v="MMT/IMPS/600417598363"/>
    <m/>
  </r>
  <r>
    <x v="128"/>
    <x v="0"/>
    <s v="VIS 14836"/>
    <n v="3274"/>
    <n v="3274"/>
    <n v="0"/>
    <s v="Bank Transfer"/>
    <d v="2026-01-04T00:00:00"/>
    <s v="MMT/IMPS/600417599078"/>
    <m/>
  </r>
  <r>
    <x v="128"/>
    <x v="7"/>
    <s v="25-26D01021790"/>
    <n v="7898"/>
    <n v="7898"/>
    <n v="0"/>
    <s v="Bank Transfer"/>
    <d v="2026-01-04T00:00:00"/>
    <s v="MMT/IMPS/600417598363"/>
    <m/>
  </r>
  <r>
    <x v="129"/>
    <x v="7"/>
    <s v="25-26D01021940"/>
    <n v="15675"/>
    <n v="15675"/>
    <n v="0"/>
    <s v="Bank Transfer"/>
    <d v="2026-01-04T00:00:00"/>
    <s v="MMT/IMPS/600417598363"/>
    <m/>
  </r>
  <r>
    <x v="129"/>
    <x v="4"/>
    <n v="116"/>
    <n v="810"/>
    <n v="810"/>
    <n v="0"/>
    <s v="Bank Transfer"/>
    <d v="2026-01-04T00:00:00"/>
    <s v="MMT/IMPS/600417599135"/>
    <m/>
  </r>
  <r>
    <x v="130"/>
    <x v="3"/>
    <s v="SI/10516/2025-26"/>
    <n v="22050"/>
    <n v="22050"/>
    <n v="0"/>
    <s v="Bank Transfer"/>
    <d v="2026-01-04T00:00:00"/>
    <s v="MMT/IMPS/600417598314"/>
    <m/>
  </r>
  <r>
    <x v="131"/>
    <x v="4"/>
    <n v="119"/>
    <n v="901"/>
    <n v="901"/>
    <n v="0"/>
    <s v="Bank Transfer"/>
    <d v="2026-01-04T00:00:00"/>
    <s v="MMT/IMPS/600417599135"/>
    <m/>
  </r>
  <r>
    <x v="132"/>
    <x v="2"/>
    <s v="D01002544 1/1"/>
    <n v="19264"/>
    <n v="19264"/>
    <n v="0"/>
    <s v="Bank Transfer"/>
    <d v="2026-01-04T00:00:00"/>
    <s v="MMT/IMPS/600417598247"/>
    <m/>
  </r>
  <r>
    <x v="133"/>
    <x v="8"/>
    <s v="O01004319"/>
    <n v="1419"/>
    <n v="1419"/>
    <n v="0"/>
    <s v="Bank Transfer"/>
    <d v="2026-01-04T00:00:00"/>
    <s v="MMT/IMPS/600417598125"/>
    <m/>
  </r>
  <r>
    <x v="133"/>
    <x v="2"/>
    <s v="D01002589 1/1"/>
    <n v="7883"/>
    <n v="7883"/>
    <n v="0"/>
    <s v="Bank Transfer"/>
    <d v="2026-01-04T00:00:00"/>
    <s v="MMT/IMPS/600417598247"/>
    <m/>
  </r>
  <r>
    <x v="133"/>
    <x v="0"/>
    <s v="VIS  15337"/>
    <n v="12693"/>
    <n v="12693"/>
    <n v="0"/>
    <s v="Bank Transfer"/>
    <d v="2026-01-04T00:00:00"/>
    <s v="MMT/IMPS/600417599078"/>
    <m/>
  </r>
  <r>
    <x v="134"/>
    <x v="4"/>
    <n v="120"/>
    <n v="940"/>
    <n v="940"/>
    <n v="0"/>
    <s v="Bank Transfer"/>
    <d v="2026-01-04T00:00:00"/>
    <s v="MMT/IMPS/600417599135"/>
    <m/>
  </r>
  <r>
    <x v="133"/>
    <x v="0"/>
    <s v="VIS 15334"/>
    <n v="3135"/>
    <n v="3135"/>
    <n v="0"/>
    <s v="Bank Transfer"/>
    <d v="2026-01-04T00:00:00"/>
    <s v="MMT/IMPS/600417599078"/>
    <m/>
  </r>
  <r>
    <x v="135"/>
    <x v="0"/>
    <s v="VIS 15599"/>
    <n v="11047"/>
    <n v="11047"/>
    <n v="0"/>
    <s v="Bank Transfer"/>
    <d v="2026-01-04T00:00:00"/>
    <s v="MMT/IMPS/600417599078"/>
    <m/>
  </r>
  <r>
    <x v="135"/>
    <x v="0"/>
    <s v="VIS 15593"/>
    <n v="2449"/>
    <n v="2449"/>
    <n v="0"/>
    <s v="Bank Transfer"/>
    <d v="2026-01-04T00:00:00"/>
    <s v="MMT/IMPS/600417599078"/>
    <m/>
  </r>
  <r>
    <x v="136"/>
    <x v="7"/>
    <s v="25-26D01022775"/>
    <n v="15675"/>
    <n v="15675"/>
    <n v="0"/>
    <s v="Bank Transfer"/>
    <d v="2026-01-04T00:00:00"/>
    <s v="MMT/IMPS/600417598363"/>
    <m/>
  </r>
  <r>
    <x v="137"/>
    <x v="7"/>
    <s v="25-26d01023116"/>
    <n v="7898"/>
    <n v="7898"/>
    <n v="0"/>
    <s v="Bank Transfer"/>
    <d v="2026-01-04T00:00:00"/>
    <s v="MMT/IMPS/600417598363"/>
    <m/>
  </r>
  <r>
    <x v="138"/>
    <x v="15"/>
    <s v="D01005274 1/1"/>
    <n v="11145"/>
    <n v="11145"/>
    <n v="0"/>
    <s v="Bank Transfer"/>
    <d v="2026-02-10T00:00:00"/>
    <s v="MMT/IMPS/604110161386"/>
    <m/>
  </r>
  <r>
    <x v="139"/>
    <x v="11"/>
    <s v="D01006810 1/1"/>
    <n v="2805"/>
    <n v="2805"/>
    <n v="0"/>
    <s v="Bank Transfer"/>
    <d v="2026-02-10T00:00:00"/>
    <s v="MMT/MPS/604120160913"/>
    <m/>
  </r>
  <r>
    <x v="140"/>
    <x v="0"/>
    <s v="VIS 00014953"/>
    <n v="26958"/>
    <n v="26958"/>
    <n v="0"/>
    <s v="Bank Transfer"/>
    <d v="2026-02-10T00:00:00"/>
    <s v="MMT/IMPS/604120164918"/>
    <m/>
  </r>
  <r>
    <x v="141"/>
    <x v="0"/>
    <s v="VIS 16092"/>
    <n v="20123"/>
    <n v="20123"/>
    <n v="0"/>
    <s v="Bank Transfer"/>
    <d v="2026-02-10T00:00:00"/>
    <s v="MMT/IMPS/604120164918"/>
    <m/>
  </r>
  <r>
    <x v="139"/>
    <x v="18"/>
    <s v="25-26D01021539 1/1"/>
    <n v="5625"/>
    <n v="5625"/>
    <n v="0"/>
    <s v="Bank Transfer"/>
    <d v="2026-02-10T00:00:00"/>
    <s v="MMT/IMPS/604120159657"/>
    <m/>
  </r>
  <r>
    <x v="140"/>
    <x v="0"/>
    <s v="VIS 16226"/>
    <n v="11834"/>
    <n v="11834"/>
    <n v="0"/>
    <s v="Bank Transfer"/>
    <d v="2026-02-10T00:00:00"/>
    <s v="MMT/IMPS/604120164918"/>
    <m/>
  </r>
  <r>
    <x v="142"/>
    <x v="3"/>
    <s v="SI/11398/2025-26"/>
    <n v="6395"/>
    <n v="6395"/>
    <n v="0"/>
    <s v="Bank Transfer"/>
    <d v="2026-02-10T00:00:00"/>
    <s v="MMT/IMPS/604120161347"/>
    <m/>
  </r>
  <r>
    <x v="143"/>
    <x v="19"/>
    <s v="BLCOCL0045"/>
    <n v="10940"/>
    <n v="10940"/>
    <n v="0"/>
    <s v="Bank Transfer"/>
    <d v="2026-01-16T00:00:00"/>
    <s v="Bank Transfer :- 2243560019"/>
    <m/>
  </r>
  <r>
    <x v="144"/>
    <x v="0"/>
    <s v="VIS00016298"/>
    <n v="32214"/>
    <n v="32214"/>
    <n v="0"/>
    <s v="Bank Transfer"/>
    <d v="2026-02-10T00:00:00"/>
    <s v="MMT/IMPS/604120164918"/>
    <m/>
  </r>
  <r>
    <x v="145"/>
    <x v="7"/>
    <s v="25-26D01024378"/>
    <n v="7898"/>
    <n v="7898"/>
    <n v="0"/>
    <s v="Bank Transfer"/>
    <d v="2026-02-10T00:00:00"/>
    <s v="MMT/IMPS/604120160939"/>
    <m/>
  </r>
  <r>
    <x v="146"/>
    <x v="13"/>
    <s v="25-26D03021672"/>
    <n v="2266"/>
    <n v="2266"/>
    <n v="0"/>
    <s v="Bank Transfer"/>
    <d v="2026-02-10T00:00:00"/>
    <s v="MMT/IMPS/604120161431"/>
    <m/>
  </r>
  <r>
    <x v="147"/>
    <x v="10"/>
    <s v="SA 015893"/>
    <n v="361"/>
    <n v="361"/>
    <n v="0"/>
    <s v="Bank Transfer"/>
    <d v="2026-02-10T00:00:00"/>
    <s v="MMT/IMPS/604120159689"/>
    <m/>
  </r>
  <r>
    <x v="147"/>
    <x v="4"/>
    <n v="27"/>
    <n v="2421"/>
    <n v="2421"/>
    <n v="0"/>
    <s v="Bank Transfer"/>
    <d v="2026-02-10T00:00:00"/>
    <s v="MMT/IMPS/604120159916"/>
    <m/>
  </r>
  <r>
    <x v="147"/>
    <x v="4"/>
    <n v="26"/>
    <n v="1525"/>
    <n v="1525"/>
    <n v="0"/>
    <s v="Bank Transfer"/>
    <d v="2026-02-10T00:00:00"/>
    <s v="MMT/IMPS/604120159916"/>
    <m/>
  </r>
  <r>
    <x v="147"/>
    <x v="4"/>
    <n v="29"/>
    <n v="14110"/>
    <n v="14110"/>
    <n v="0"/>
    <s v="Bank Transfer"/>
    <d v="2026-02-10T00:00:00"/>
    <s v="MMT/IMPS/604120159916"/>
    <m/>
  </r>
  <r>
    <x v="147"/>
    <x v="11"/>
    <s v="D01007208"/>
    <n v="1828"/>
    <n v="1828"/>
    <n v="0"/>
    <s v="Bank Transfer"/>
    <d v="2026-02-10T00:00:00"/>
    <s v="MMT/MPS/604120160913"/>
    <m/>
  </r>
  <r>
    <x v="148"/>
    <x v="10"/>
    <s v="SA 016046"/>
    <n v="5848"/>
    <n v="5848"/>
    <n v="0"/>
    <s v="Bank Transfer"/>
    <d v="2026-02-10T00:00:00"/>
    <s v="MMT/IMPS/604120159689"/>
    <m/>
  </r>
  <r>
    <x v="149"/>
    <x v="15"/>
    <s v="D01005645"/>
    <n v="11720"/>
    <n v="11720"/>
    <n v="0"/>
    <s v="Bank Transfer"/>
    <d v="2026-02-10T00:00:00"/>
    <s v="MMT/IMPS/604110161386"/>
    <m/>
  </r>
  <r>
    <x v="150"/>
    <x v="7"/>
    <s v="25-26D01025395"/>
    <n v="9214"/>
    <n v="9214"/>
    <n v="0"/>
    <s v="Bank Transfer"/>
    <d v="2026-02-10T00:00:00"/>
    <s v="MMT/IMPS/604120160939"/>
    <m/>
  </r>
  <r>
    <x v="149"/>
    <x v="0"/>
    <s v="VIS 17163"/>
    <n v="5810"/>
    <n v="5810"/>
    <n v="0"/>
    <s v="Bank Transfer"/>
    <d v="2026-02-10T00:00:00"/>
    <s v="MMT/IMPS/604120164918"/>
    <m/>
  </r>
  <r>
    <x v="150"/>
    <x v="20"/>
    <s v="KP-25-72930"/>
    <n v="3447"/>
    <n v="3447"/>
    <n v="0"/>
    <s v="Bank Transfer"/>
    <d v="2026-02-10T00:00:00"/>
    <s v="MMT/IMPS/604120161366"/>
    <m/>
  </r>
  <r>
    <x v="150"/>
    <x v="0"/>
    <s v="VIS 17193"/>
    <n v="7702"/>
    <n v="7702"/>
    <n v="0"/>
    <s v="Bank Transfer"/>
    <d v="2026-02-10T00:00:00"/>
    <s v="MMT/IMPS/604120164918"/>
    <m/>
  </r>
  <r>
    <x v="151"/>
    <x v="6"/>
    <s v="25-26 D17762 1/1"/>
    <n v="6560"/>
    <n v="6560"/>
    <n v="0"/>
    <s v="Bank Transfer"/>
    <d v="2026-02-10T00:00:00"/>
    <s v="MMT/IMPS/604120159703"/>
    <m/>
  </r>
  <r>
    <x v="152"/>
    <x v="10"/>
    <s v="SA 016460"/>
    <n v="294"/>
    <n v="294"/>
    <n v="0"/>
    <s v="Bank Transfer"/>
    <d v="2026-02-10T00:00:00"/>
    <s v="MMT/IMPS/604120159689"/>
    <m/>
  </r>
  <r>
    <x v="152"/>
    <x v="10"/>
    <s v="SA 016477"/>
    <n v="440"/>
    <n v="440"/>
    <n v="0"/>
    <s v="Bank Transfer"/>
    <d v="2026-02-10T00:00:00"/>
    <s v="MMT/IMPS/604120159689"/>
    <m/>
  </r>
  <r>
    <x v="153"/>
    <x v="13"/>
    <s v="25-26D03022747 1/1"/>
    <n v="6183"/>
    <m/>
    <n v="6183"/>
    <m/>
    <m/>
    <m/>
    <m/>
  </r>
  <r>
    <x v="154"/>
    <x v="7"/>
    <s v="25-26D01026439"/>
    <n v="7898"/>
    <m/>
    <n v="14081"/>
    <m/>
    <m/>
    <m/>
    <m/>
  </r>
  <r>
    <x v="153"/>
    <x v="7"/>
    <s v="25-26D01025875"/>
    <n v="2344"/>
    <m/>
    <n v="16425"/>
    <m/>
    <m/>
    <m/>
    <m/>
  </r>
  <r>
    <x v="155"/>
    <x v="0"/>
    <s v="VIS 18018"/>
    <n v="15930"/>
    <m/>
    <n v="32355"/>
    <m/>
    <m/>
    <m/>
    <m/>
  </r>
  <r>
    <x v="156"/>
    <x v="4"/>
    <s v="135"/>
    <n v="1150"/>
    <m/>
    <n v="33505"/>
    <m/>
    <m/>
    <m/>
    <m/>
  </r>
  <r>
    <x v="157"/>
    <x v="1"/>
    <s v="4167"/>
    <n v="435"/>
    <m/>
    <n v="33940"/>
    <m/>
    <m/>
    <m/>
    <m/>
  </r>
  <r>
    <x v="157"/>
    <x v="1"/>
    <s v="4171"/>
    <n v="930"/>
    <m/>
    <n v="34870"/>
    <m/>
    <m/>
    <m/>
    <m/>
  </r>
  <r>
    <x v="158"/>
    <x v="13"/>
    <s v="25-26D03023357 1/1"/>
    <n v="1717"/>
    <m/>
    <n v="36587"/>
    <m/>
    <m/>
    <m/>
    <m/>
  </r>
  <r>
    <x v="159"/>
    <x v="2"/>
    <s v="D01003089 1/1"/>
    <n v="14606"/>
    <m/>
    <n v="51193"/>
    <m/>
    <m/>
    <m/>
    <m/>
  </r>
  <r>
    <x v="160"/>
    <x v="0"/>
    <s v="VIS 00018398"/>
    <n v="7892"/>
    <m/>
    <n v="59085"/>
    <m/>
    <m/>
    <m/>
    <m/>
  </r>
  <r>
    <x v="160"/>
    <x v="2"/>
    <s v="D01003100 1/1"/>
    <n v="6283"/>
    <m/>
    <n v="65368"/>
    <m/>
    <m/>
    <m/>
    <m/>
  </r>
  <r>
    <x v="161"/>
    <x v="0"/>
    <s v="VIS 18576"/>
    <n v="10269"/>
    <m/>
    <n v="75637"/>
    <m/>
    <m/>
    <m/>
    <m/>
  </r>
  <r>
    <x v="161"/>
    <x v="3"/>
    <s v="SI/13007/2025-26"/>
    <n v="22050"/>
    <m/>
    <n v="97687"/>
    <m/>
    <m/>
    <m/>
    <m/>
  </r>
  <r>
    <x v="162"/>
    <x v="6"/>
    <s v="25-26D19288 1/1"/>
    <n v="6707"/>
    <m/>
    <n v="104394"/>
    <m/>
    <m/>
    <m/>
    <m/>
  </r>
  <r>
    <x v="163"/>
    <x v="15"/>
    <s v="D01006203 1/1"/>
    <n v="11720"/>
    <m/>
    <n v="116114"/>
    <m/>
    <m/>
    <m/>
    <m/>
  </r>
  <r>
    <x v="163"/>
    <x v="7"/>
    <s v="25-26D01027954"/>
    <n v="7898"/>
    <m/>
    <n v="124012"/>
    <m/>
    <m/>
    <m/>
    <m/>
  </r>
  <r>
    <x v="164"/>
    <x v="1"/>
    <s v="4383"/>
    <n v="2570"/>
    <m/>
    <n v="126582"/>
    <m/>
    <m/>
    <m/>
    <m/>
  </r>
  <r>
    <x v="164"/>
    <x v="9"/>
    <s v="25-26D01024895"/>
    <n v="6691"/>
    <m/>
    <n v="133273"/>
    <m/>
    <m/>
    <m/>
    <m/>
  </r>
  <r>
    <x v="165"/>
    <x v="0"/>
    <s v="VIS 19368"/>
    <n v="5147"/>
    <m/>
    <n v="138420"/>
    <m/>
    <m/>
    <m/>
    <m/>
  </r>
  <r>
    <x v="165"/>
    <x v="0"/>
    <s v="VIS 19372"/>
    <n v="18766"/>
    <m/>
    <n v="157186"/>
    <m/>
    <m/>
    <m/>
    <m/>
  </r>
  <r>
    <x v="165"/>
    <x v="4"/>
    <s v="136"/>
    <n v="901"/>
    <m/>
    <n v="158087"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  <r>
    <x v="166"/>
    <x v="2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CA203-4F14-4B66-BBB3-6D0357D1A4CB}" name="PivotTable2" cacheId="92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1:C12" firstHeaderRow="0" firstDataRow="1" firstDataCol="1"/>
  <pivotFields count="10">
    <pivotField compact="0" outline="0" showAll="0">
      <items count="168">
        <item x="0"/>
        <item x="2"/>
        <item x="1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  <item x="26"/>
        <item x="28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8"/>
        <item x="50"/>
        <item x="49"/>
        <item x="51"/>
        <item x="53"/>
        <item x="52"/>
        <item x="57"/>
        <item x="54"/>
        <item x="55"/>
        <item x="56"/>
        <item x="58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4"/>
        <item x="73"/>
        <item x="75"/>
        <item x="76"/>
        <item x="77"/>
        <item x="78"/>
        <item x="79"/>
        <item x="81"/>
        <item x="80"/>
        <item x="83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8"/>
        <item x="10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29"/>
        <item x="132"/>
        <item x="131"/>
        <item x="133"/>
        <item x="134"/>
        <item x="136"/>
        <item x="135"/>
        <item x="137"/>
        <item x="143"/>
        <item x="138"/>
        <item x="139"/>
        <item x="141"/>
        <item x="142"/>
        <item x="14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axis="axisRow" compact="0" outline="0" showAll="0" sortType="descending">
      <items count="32">
        <item x="21"/>
        <item x="6"/>
        <item m="1" x="22"/>
        <item x="8"/>
        <item x="10"/>
        <item x="18"/>
        <item x="13"/>
        <item m="1" x="23"/>
        <item x="9"/>
        <item x="14"/>
        <item x="15"/>
        <item x="12"/>
        <item x="5"/>
        <item x="20"/>
        <item m="1" x="27"/>
        <item x="2"/>
        <item x="16"/>
        <item x="1"/>
        <item m="1" x="24"/>
        <item x="3"/>
        <item x="19"/>
        <item x="0"/>
        <item x="17"/>
        <item x="7"/>
        <item x="11"/>
        <item m="1" x="25"/>
        <item m="1" x="28"/>
        <item m="1" x="26"/>
        <item x="4"/>
        <item m="1" x="30"/>
        <item m="1" x="29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 v="1"/>
    </i>
    <i>
      <x v="6"/>
    </i>
    <i>
      <x v="8"/>
    </i>
    <i>
      <x v="10"/>
    </i>
    <i>
      <x v="15"/>
    </i>
    <i>
      <x v="17"/>
    </i>
    <i>
      <x v="19"/>
    </i>
    <i>
      <x v="21"/>
    </i>
    <i>
      <x v="23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redit" fld="3" baseField="0" baseItem="0"/>
    <dataField name="Sum of Debit" fld="4" baseField="0" baseItem="0"/>
  </dataFields>
  <formats count="15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14">
            <x v="1"/>
            <x v="4"/>
            <x v="5"/>
            <x v="6"/>
            <x v="8"/>
            <x v="10"/>
            <x v="13"/>
            <x v="15"/>
            <x v="19"/>
            <x v="21"/>
            <x v="23"/>
            <x v="24"/>
            <x v="26"/>
            <x v="28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outline="0" fieldPosition="0">
        <references count="2">
          <reference field="4294967294" count="1" selected="0">
            <x v="0"/>
          </reference>
          <reference field="1" count="14" selected="0">
            <x v="1"/>
            <x v="4"/>
            <x v="5"/>
            <x v="6"/>
            <x v="8"/>
            <x v="10"/>
            <x v="13"/>
            <x v="15"/>
            <x v="19"/>
            <x v="21"/>
            <x v="23"/>
            <x v="24"/>
            <x v="26"/>
            <x v="28"/>
          </reference>
        </references>
      </pivotArea>
    </format>
    <format dxfId="7">
      <pivotArea outline="0" fieldPosition="0">
        <references count="2">
          <reference field="4294967294" count="1" selected="0">
            <x v="1"/>
          </reference>
          <reference field="1" count="16" selected="0">
            <x v="1"/>
            <x v="4"/>
            <x v="5"/>
            <x v="7"/>
            <x v="8"/>
            <x v="10"/>
            <x v="11"/>
            <x v="12"/>
            <x v="14"/>
            <x v="18"/>
            <x v="19"/>
            <x v="21"/>
            <x v="23"/>
            <x v="25"/>
            <x v="27"/>
            <x v="28"/>
          </reference>
        </references>
      </pivotArea>
    </format>
    <format dxfId="8">
      <pivotArea outline="0" fieldPosition="0">
        <references count="2">
          <reference field="4294967294" count="1" selected="0">
            <x v="0"/>
          </reference>
          <reference field="1" count="16" selected="0">
            <x v="1"/>
            <x v="4"/>
            <x v="5"/>
            <x v="7"/>
            <x v="8"/>
            <x v="10"/>
            <x v="11"/>
            <x v="12"/>
            <x v="14"/>
            <x v="18"/>
            <x v="19"/>
            <x v="21"/>
            <x v="23"/>
            <x v="25"/>
            <x v="27"/>
            <x v="28"/>
          </reference>
        </references>
      </pivotArea>
    </format>
    <format dxfId="9">
      <pivotArea outline="0" fieldPosition="0">
        <references count="2">
          <reference field="4294967294" count="1" selected="0">
            <x v="0"/>
          </reference>
          <reference field="1" count="3" selected="0">
            <x v="3"/>
            <x v="13"/>
            <x v="30"/>
          </reference>
        </references>
      </pivotArea>
    </format>
    <format dxfId="10">
      <pivotArea field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1" count="13" selected="0">
            <x v="1"/>
            <x v="4"/>
            <x v="6"/>
            <x v="10"/>
            <x v="13"/>
            <x v="15"/>
            <x v="19"/>
            <x v="21"/>
            <x v="23"/>
            <x v="24"/>
            <x v="26"/>
            <x v="28"/>
            <x v="29"/>
          </reference>
        </references>
      </pivotArea>
    </format>
    <format dxfId="12">
      <pivotArea outline="0" fieldPosition="0">
        <references count="2">
          <reference field="4294967294" count="1" selected="0">
            <x v="0"/>
          </reference>
          <reference field="1" count="11" selected="0">
            <x v="1"/>
            <x v="4"/>
            <x v="6"/>
            <x v="10"/>
            <x v="15"/>
            <x v="17"/>
            <x v="19"/>
            <x v="21"/>
            <x v="23"/>
            <x v="24"/>
            <x v="28"/>
          </reference>
        </references>
      </pivotArea>
    </format>
    <format dxfId="13">
      <pivotArea outline="0" fieldPosition="0">
        <references count="2">
          <reference field="4294967294" count="1" selected="0">
            <x v="0"/>
          </reference>
          <reference field="1" count="14" selected="0">
            <x v="1"/>
            <x v="3"/>
            <x v="4"/>
            <x v="6"/>
            <x v="8"/>
            <x v="11"/>
            <x v="12"/>
            <x v="15"/>
            <x v="17"/>
            <x v="19"/>
            <x v="21"/>
            <x v="23"/>
            <x v="24"/>
            <x v="28"/>
          </reference>
        </references>
      </pivotArea>
    </format>
    <format dxfId="14">
      <pivotArea outline="0" fieldPosition="0">
        <references count="2">
          <reference field="4294967294" count="1" selected="0">
            <x v="0"/>
          </reference>
          <reference field="1" count="11" selected="0">
            <x v="1"/>
            <x v="4"/>
            <x v="5"/>
            <x v="6"/>
            <x v="10"/>
            <x v="13"/>
            <x v="19"/>
            <x v="21"/>
            <x v="23"/>
            <x v="24"/>
            <x v="28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Between" evalOrder="-1" id="730" name="Date">
      <autoFilter ref="A1">
        <filterColumn colId="0">
          <customFilters and="1">
            <customFilter operator="greaterThanOrEqual" val="46054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4B46B4F8-7B8C-488C-A1FB-37F37E61D871}" sourceName="Date">
  <pivotTables>
    <pivotTable tabId="6" name="PivotTable2"/>
  </pivotTables>
  <state minimalRefreshVersion="6" lastRefreshVersion="6" pivotCacheId="1234571961" filterType="dateBetween">
    <selection startDate="2026-02-01T00:00:00" endDate="2026-02-28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A456788D-BF45-451A-9C7D-27E67008E577}" cache="NativeTimeline_Date" caption="Date" level="2" selectionLevel="2" scrollPosition="2026-02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AF55-13DF-4509-BE09-548B2D724CAD}">
  <dimension ref="A1:Y31"/>
  <sheetViews>
    <sheetView workbookViewId="0">
      <selection activeCell="M18" sqref="M18"/>
    </sheetView>
  </sheetViews>
  <sheetFormatPr defaultRowHeight="15"/>
  <cols>
    <col min="1" max="1" width="23.7109375" bestFit="1" customWidth="1"/>
    <col min="2" max="2" width="16.85546875" bestFit="1" customWidth="1"/>
    <col min="3" max="3" width="15.7109375" bestFit="1" customWidth="1"/>
    <col min="4" max="16" width="5.42578125" bestFit="1" customWidth="1"/>
    <col min="17" max="18" width="6.5703125" bestFit="1" customWidth="1"/>
    <col min="19" max="20" width="5.42578125" bestFit="1" customWidth="1"/>
    <col min="21" max="23" width="6.5703125" bestFit="1" customWidth="1"/>
    <col min="24" max="24" width="7.7109375" bestFit="1" customWidth="1"/>
    <col min="25" max="25" width="11.7109375" bestFit="1" customWidth="1"/>
    <col min="26" max="26" width="7.28515625" bestFit="1" customWidth="1"/>
    <col min="27" max="27" width="10.5703125" bestFit="1" customWidth="1"/>
    <col min="28" max="28" width="7.28515625" bestFit="1" customWidth="1"/>
    <col min="29" max="29" width="10.5703125" bestFit="1" customWidth="1"/>
    <col min="30" max="30" width="7.42578125" bestFit="1" customWidth="1"/>
    <col min="31" max="31" width="10.5703125" bestFit="1" customWidth="1"/>
    <col min="32" max="32" width="7.28515625" bestFit="1" customWidth="1"/>
    <col min="33" max="33" width="10.5703125" bestFit="1" customWidth="1"/>
    <col min="34" max="34" width="7.28515625" bestFit="1" customWidth="1"/>
    <col min="35" max="35" width="7.42578125" bestFit="1" customWidth="1"/>
    <col min="36" max="36" width="10.5703125" bestFit="1" customWidth="1"/>
    <col min="37" max="37" width="7.28515625" bestFit="1" customWidth="1"/>
    <col min="38" max="38" width="10.5703125" bestFit="1" customWidth="1"/>
    <col min="39" max="39" width="7.28515625" bestFit="1" customWidth="1"/>
    <col min="40" max="40" width="10.5703125" bestFit="1" customWidth="1"/>
    <col min="41" max="41" width="7.42578125" bestFit="1" customWidth="1"/>
    <col min="42" max="42" width="10.5703125" bestFit="1" customWidth="1"/>
    <col min="43" max="43" width="7.42578125" bestFit="1" customWidth="1"/>
    <col min="44" max="44" width="10.5703125" bestFit="1" customWidth="1"/>
    <col min="45" max="45" width="7.28515625" bestFit="1" customWidth="1"/>
    <col min="46" max="46" width="10.5703125" bestFit="1" customWidth="1"/>
    <col min="47" max="47" width="7.28515625" bestFit="1" customWidth="1"/>
    <col min="48" max="48" width="10.5703125" bestFit="1" customWidth="1"/>
    <col min="49" max="49" width="7.28515625" bestFit="1" customWidth="1"/>
    <col min="50" max="50" width="10.5703125" bestFit="1" customWidth="1"/>
    <col min="51" max="51" width="7.42578125" bestFit="1" customWidth="1"/>
    <col min="52" max="52" width="10.5703125" bestFit="1" customWidth="1"/>
    <col min="53" max="53" width="7.28515625" bestFit="1" customWidth="1"/>
    <col min="54" max="54" width="10.5703125" bestFit="1" customWidth="1"/>
    <col min="55" max="55" width="7.42578125" bestFit="1" customWidth="1"/>
    <col min="56" max="56" width="10.5703125" bestFit="1" customWidth="1"/>
    <col min="57" max="57" width="7.28515625" bestFit="1" customWidth="1"/>
    <col min="58" max="58" width="10.5703125" bestFit="1" customWidth="1"/>
    <col min="59" max="59" width="7.28515625" bestFit="1" customWidth="1"/>
    <col min="60" max="60" width="7.42578125" bestFit="1" customWidth="1"/>
    <col min="61" max="61" width="10.5703125" bestFit="1" customWidth="1"/>
    <col min="62" max="62" width="7.28515625" bestFit="1" customWidth="1"/>
    <col min="63" max="63" width="7.42578125" bestFit="1" customWidth="1"/>
    <col min="64" max="64" width="10.5703125" bestFit="1" customWidth="1"/>
    <col min="65" max="65" width="7.28515625" bestFit="1" customWidth="1"/>
    <col min="66" max="66" width="10.5703125" bestFit="1" customWidth="1"/>
    <col min="67" max="67" width="7.28515625" bestFit="1" customWidth="1"/>
    <col min="68" max="68" width="10.5703125" bestFit="1" customWidth="1"/>
    <col min="69" max="69" width="7.42578125" bestFit="1" customWidth="1"/>
    <col min="70" max="70" width="10.5703125" bestFit="1" customWidth="1"/>
    <col min="71" max="71" width="8.42578125" bestFit="1" customWidth="1"/>
    <col min="72" max="72" width="11.5703125" bestFit="1" customWidth="1"/>
    <col min="73" max="73" width="8.42578125" bestFit="1" customWidth="1"/>
    <col min="74" max="74" width="11.5703125" bestFit="1" customWidth="1"/>
    <col min="75" max="75" width="8.42578125" bestFit="1" customWidth="1"/>
    <col min="76" max="76" width="11.5703125" bestFit="1" customWidth="1"/>
    <col min="77" max="77" width="8.42578125" bestFit="1" customWidth="1"/>
    <col min="78" max="78" width="11.5703125" bestFit="1" customWidth="1"/>
    <col min="79" max="79" width="8.42578125" bestFit="1" customWidth="1"/>
    <col min="80" max="80" width="11.5703125" bestFit="1" customWidth="1"/>
    <col min="81" max="81" width="8.42578125" bestFit="1" customWidth="1"/>
    <col min="82" max="82" width="11.5703125" bestFit="1" customWidth="1"/>
    <col min="83" max="83" width="8.42578125" bestFit="1" customWidth="1"/>
    <col min="84" max="84" width="11.5703125" bestFit="1" customWidth="1"/>
    <col min="85" max="85" width="8.42578125" bestFit="1" customWidth="1"/>
    <col min="86" max="86" width="11.5703125" bestFit="1" customWidth="1"/>
    <col min="87" max="87" width="8.42578125" bestFit="1" customWidth="1"/>
    <col min="88" max="88" width="11.5703125" bestFit="1" customWidth="1"/>
    <col min="89" max="89" width="9.28515625" bestFit="1" customWidth="1"/>
    <col min="90" max="90" width="12.42578125" bestFit="1" customWidth="1"/>
    <col min="91" max="91" width="11.7109375" bestFit="1" customWidth="1"/>
  </cols>
  <sheetData>
    <row r="1" spans="1:25" ht="18.75">
      <c r="A1" s="47" t="s">
        <v>0</v>
      </c>
      <c r="B1" s="48" t="s">
        <v>1</v>
      </c>
      <c r="C1" s="48" t="s">
        <v>2</v>
      </c>
    </row>
    <row r="2" spans="1:25" ht="18.75">
      <c r="A2" s="48" t="s">
        <v>3</v>
      </c>
      <c r="B2" s="53">
        <v>6707</v>
      </c>
      <c r="C2" s="51"/>
    </row>
    <row r="3" spans="1:25" ht="18.75">
      <c r="A3" s="48" t="s">
        <v>4</v>
      </c>
      <c r="B3" s="53">
        <v>7900</v>
      </c>
      <c r="C3" s="61"/>
    </row>
    <row r="4" spans="1:25" ht="18.75">
      <c r="A4" s="48" t="s">
        <v>5</v>
      </c>
      <c r="B4" s="49">
        <v>6691</v>
      </c>
      <c r="C4" s="51"/>
    </row>
    <row r="5" spans="1:25" ht="18.75">
      <c r="A5" s="48" t="s">
        <v>6</v>
      </c>
      <c r="B5" s="53">
        <v>11720</v>
      </c>
      <c r="C5" s="51"/>
    </row>
    <row r="6" spans="1:25" ht="18.75">
      <c r="A6" s="48" t="s">
        <v>7</v>
      </c>
      <c r="B6" s="53">
        <v>20889</v>
      </c>
      <c r="C6" s="61"/>
    </row>
    <row r="7" spans="1:25" ht="18.75">
      <c r="A7" s="48" t="s">
        <v>8</v>
      </c>
      <c r="B7" s="53">
        <v>3935</v>
      </c>
      <c r="C7" s="61"/>
    </row>
    <row r="8" spans="1:25" ht="18.75">
      <c r="A8" s="48" t="s">
        <v>9</v>
      </c>
      <c r="B8" s="53">
        <v>22050</v>
      </c>
      <c r="C8" s="51"/>
    </row>
    <row r="9" spans="1:25" ht="18.75">
      <c r="A9" s="48" t="s">
        <v>10</v>
      </c>
      <c r="B9" s="53">
        <v>58004</v>
      </c>
      <c r="C9" s="51"/>
    </row>
    <row r="10" spans="1:25" ht="18.75">
      <c r="A10" s="48" t="s">
        <v>11</v>
      </c>
      <c r="B10" s="53">
        <v>18140</v>
      </c>
      <c r="C10" s="51"/>
      <c r="F10" s="49"/>
    </row>
    <row r="11" spans="1:25" ht="18.75">
      <c r="A11" s="48" t="s">
        <v>12</v>
      </c>
      <c r="B11" s="53">
        <v>2051</v>
      </c>
      <c r="C11" s="51"/>
      <c r="F11" s="49"/>
      <c r="O11" s="49"/>
      <c r="Y11" s="49"/>
    </row>
    <row r="12" spans="1:25" ht="18.75">
      <c r="A12" s="48" t="s">
        <v>13</v>
      </c>
      <c r="B12" s="52">
        <v>158087</v>
      </c>
      <c r="C12" s="61"/>
      <c r="F12" s="49"/>
    </row>
    <row r="13" spans="1:25" ht="18.75" customHeight="1">
      <c r="D13" s="49"/>
      <c r="F13" s="49"/>
    </row>
    <row r="14" spans="1:25" ht="18.75">
      <c r="F14" s="49"/>
    </row>
    <row r="15" spans="1:25" ht="18.75">
      <c r="F15" s="51"/>
      <c r="M15" s="49"/>
    </row>
    <row r="16" spans="1:25" ht="18.75">
      <c r="F16" s="49"/>
    </row>
    <row r="17" spans="4:6" ht="18.75">
      <c r="F17" s="49"/>
    </row>
    <row r="18" spans="4:6" ht="18.75">
      <c r="F18" s="51"/>
    </row>
    <row r="19" spans="4:6" ht="18.75">
      <c r="F19" s="49"/>
    </row>
    <row r="20" spans="4:6" ht="18.75">
      <c r="F20" s="48"/>
    </row>
    <row r="21" spans="4:6" ht="18.75"/>
    <row r="31" spans="4:6">
      <c r="D31" t="s">
        <v>14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topLeftCell="A252" workbookViewId="0">
      <selection activeCell="E264" sqref="E264"/>
    </sheetView>
  </sheetViews>
  <sheetFormatPr defaultRowHeight="15"/>
  <cols>
    <col min="1" max="1" width="36.5703125" style="5" bestFit="1" customWidth="1"/>
    <col min="2" max="2" width="39.7109375" style="4" customWidth="1"/>
    <col min="3" max="3" width="27.85546875" style="4" customWidth="1"/>
    <col min="4" max="4" width="18.140625" customWidth="1"/>
    <col min="5" max="5" width="19.28515625" style="6" customWidth="1"/>
    <col min="6" max="6" width="22.85546875" customWidth="1"/>
    <col min="7" max="7" width="19.28515625" customWidth="1"/>
    <col min="8" max="8" width="22.28515625" style="5" customWidth="1"/>
    <col min="9" max="9" width="34.85546875" style="7" customWidth="1"/>
    <col min="10" max="10" width="44.7109375" customWidth="1"/>
  </cols>
  <sheetData>
    <row r="1" spans="1:10" ht="18.75">
      <c r="A1" s="36" t="s">
        <v>15</v>
      </c>
      <c r="B1" s="50" t="s">
        <v>0</v>
      </c>
      <c r="C1" s="50" t="s">
        <v>16</v>
      </c>
      <c r="D1" s="37" t="s">
        <v>17</v>
      </c>
      <c r="E1" s="38" t="s">
        <v>18</v>
      </c>
      <c r="F1" s="37" t="s">
        <v>19</v>
      </c>
      <c r="G1" s="37" t="s">
        <v>20</v>
      </c>
      <c r="H1" s="36" t="s">
        <v>21</v>
      </c>
      <c r="I1" s="39" t="s">
        <v>22</v>
      </c>
      <c r="J1" s="40" t="s">
        <v>23</v>
      </c>
    </row>
    <row r="2" spans="1:10" ht="18.75">
      <c r="A2" s="41">
        <v>45749</v>
      </c>
      <c r="B2" s="42" t="s">
        <v>10</v>
      </c>
      <c r="C2" s="42" t="s">
        <v>24</v>
      </c>
      <c r="D2" s="43">
        <v>16048</v>
      </c>
      <c r="E2" s="46">
        <v>16048</v>
      </c>
      <c r="F2" s="54">
        <f>D2-E2</f>
        <v>0</v>
      </c>
      <c r="G2" s="44" t="s">
        <v>25</v>
      </c>
      <c r="H2" s="41">
        <v>45781</v>
      </c>
      <c r="I2" s="45" t="s">
        <v>26</v>
      </c>
    </row>
    <row r="3" spans="1:10" ht="18.75">
      <c r="A3" s="41">
        <v>45749</v>
      </c>
      <c r="B3" s="42" t="s">
        <v>8</v>
      </c>
      <c r="C3" s="42">
        <v>24</v>
      </c>
      <c r="D3" s="43">
        <v>2856</v>
      </c>
      <c r="E3" s="46">
        <v>2856</v>
      </c>
      <c r="F3" s="54">
        <f>F2+D3-E3</f>
        <v>0</v>
      </c>
      <c r="G3" s="44" t="s">
        <v>25</v>
      </c>
      <c r="H3" s="41">
        <v>45781</v>
      </c>
      <c r="I3" s="45" t="s">
        <v>27</v>
      </c>
    </row>
    <row r="4" spans="1:10" ht="18.75">
      <c r="A4" s="41">
        <v>45752</v>
      </c>
      <c r="B4" s="42" t="s">
        <v>7</v>
      </c>
      <c r="C4" s="42" t="s">
        <v>28</v>
      </c>
      <c r="D4" s="43">
        <v>2181</v>
      </c>
      <c r="E4" s="46">
        <v>2181</v>
      </c>
      <c r="F4" s="54">
        <f t="shared" ref="F4:F68" si="0">F3+D4-E4</f>
        <v>0</v>
      </c>
      <c r="G4" s="44" t="s">
        <v>25</v>
      </c>
      <c r="H4" s="41">
        <v>45781</v>
      </c>
      <c r="I4" s="45" t="s">
        <v>29</v>
      </c>
    </row>
    <row r="5" spans="1:10" ht="18.75">
      <c r="A5" s="41">
        <v>45752</v>
      </c>
      <c r="B5" s="42" t="s">
        <v>8</v>
      </c>
      <c r="C5" s="42">
        <v>70</v>
      </c>
      <c r="D5" s="43">
        <v>3363</v>
      </c>
      <c r="E5" s="46">
        <v>3363</v>
      </c>
      <c r="F5" s="54">
        <f t="shared" si="0"/>
        <v>0</v>
      </c>
      <c r="G5" s="44" t="s">
        <v>25</v>
      </c>
      <c r="H5" s="41">
        <v>45781</v>
      </c>
      <c r="I5" s="45" t="s">
        <v>27</v>
      </c>
    </row>
    <row r="6" spans="1:10" ht="18.75">
      <c r="A6" s="41">
        <v>45751</v>
      </c>
      <c r="B6" s="42" t="s">
        <v>9</v>
      </c>
      <c r="C6" s="42" t="s">
        <v>30</v>
      </c>
      <c r="D6" s="43">
        <v>14112</v>
      </c>
      <c r="E6" s="46">
        <v>14112</v>
      </c>
      <c r="F6" s="54">
        <f t="shared" si="0"/>
        <v>0</v>
      </c>
      <c r="G6" s="44" t="s">
        <v>25</v>
      </c>
      <c r="H6" s="41">
        <v>45781</v>
      </c>
      <c r="I6" s="45" t="s">
        <v>31</v>
      </c>
    </row>
    <row r="7" spans="1:10" ht="18.75">
      <c r="A7" s="41">
        <v>45754</v>
      </c>
      <c r="B7" s="42" t="s">
        <v>12</v>
      </c>
      <c r="C7" s="42">
        <v>3</v>
      </c>
      <c r="D7" s="43">
        <v>930</v>
      </c>
      <c r="E7" s="46">
        <v>930</v>
      </c>
      <c r="F7" s="54">
        <f t="shared" si="0"/>
        <v>0</v>
      </c>
      <c r="G7" s="44" t="s">
        <v>25</v>
      </c>
      <c r="H7" s="41">
        <v>45781</v>
      </c>
      <c r="I7" s="45" t="s">
        <v>32</v>
      </c>
    </row>
    <row r="8" spans="1:10" ht="18.75">
      <c r="A8" s="41">
        <v>45754</v>
      </c>
      <c r="B8" s="42" t="s">
        <v>33</v>
      </c>
      <c r="C8" s="42" t="s">
        <v>34</v>
      </c>
      <c r="D8" s="43">
        <v>4447</v>
      </c>
      <c r="E8" s="46">
        <v>4447</v>
      </c>
      <c r="F8" s="54">
        <f t="shared" si="0"/>
        <v>0</v>
      </c>
      <c r="G8" s="44" t="s">
        <v>25</v>
      </c>
      <c r="H8" s="41">
        <v>45781</v>
      </c>
      <c r="I8" s="45" t="s">
        <v>35</v>
      </c>
    </row>
    <row r="9" spans="1:10" ht="18.75">
      <c r="A9" s="41">
        <v>45755</v>
      </c>
      <c r="B9" s="42" t="s">
        <v>7</v>
      </c>
      <c r="C9" s="42" t="s">
        <v>36</v>
      </c>
      <c r="D9" s="43">
        <v>15580</v>
      </c>
      <c r="E9" s="46">
        <v>15580</v>
      </c>
      <c r="F9" s="54">
        <f t="shared" si="0"/>
        <v>0</v>
      </c>
      <c r="G9" s="44" t="s">
        <v>25</v>
      </c>
      <c r="H9" s="41">
        <v>45781</v>
      </c>
      <c r="I9" s="45" t="s">
        <v>29</v>
      </c>
    </row>
    <row r="10" spans="1:10" ht="18.75">
      <c r="A10" s="41">
        <v>45756</v>
      </c>
      <c r="B10" s="42" t="s">
        <v>12</v>
      </c>
      <c r="C10" s="42">
        <v>4</v>
      </c>
      <c r="D10" s="43">
        <v>1520</v>
      </c>
      <c r="E10" s="46">
        <v>1520</v>
      </c>
      <c r="F10" s="54">
        <f t="shared" si="0"/>
        <v>0</v>
      </c>
      <c r="G10" s="44" t="s">
        <v>25</v>
      </c>
      <c r="H10" s="41">
        <v>45781</v>
      </c>
      <c r="I10" s="45" t="s">
        <v>32</v>
      </c>
    </row>
    <row r="11" spans="1:10" ht="18.75">
      <c r="A11" s="41">
        <v>45755</v>
      </c>
      <c r="B11" s="42" t="s">
        <v>3</v>
      </c>
      <c r="C11" s="42" t="s">
        <v>37</v>
      </c>
      <c r="D11" s="43">
        <v>5863</v>
      </c>
      <c r="E11" s="46">
        <v>5863</v>
      </c>
      <c r="F11" s="54">
        <f t="shared" si="0"/>
        <v>0</v>
      </c>
      <c r="G11" s="44" t="s">
        <v>25</v>
      </c>
      <c r="H11" s="41">
        <v>45781</v>
      </c>
      <c r="I11" s="45" t="s">
        <v>38</v>
      </c>
    </row>
    <row r="12" spans="1:10" ht="18.75">
      <c r="A12" s="41">
        <v>45757</v>
      </c>
      <c r="B12" s="42" t="s">
        <v>11</v>
      </c>
      <c r="C12" s="42" t="s">
        <v>39</v>
      </c>
      <c r="D12" s="43">
        <v>8849</v>
      </c>
      <c r="E12" s="46">
        <v>8849</v>
      </c>
      <c r="F12" s="54">
        <f t="shared" si="0"/>
        <v>0</v>
      </c>
      <c r="G12" s="44" t="s">
        <v>25</v>
      </c>
      <c r="H12" s="41">
        <v>45781</v>
      </c>
      <c r="I12" s="45" t="s">
        <v>40</v>
      </c>
    </row>
    <row r="13" spans="1:10" ht="18.75">
      <c r="A13" s="41">
        <v>45757</v>
      </c>
      <c r="B13" s="42" t="s">
        <v>11</v>
      </c>
      <c r="C13" s="42" t="s">
        <v>41</v>
      </c>
      <c r="D13" s="43">
        <v>7020</v>
      </c>
      <c r="E13" s="46">
        <v>7020</v>
      </c>
      <c r="F13" s="54">
        <f t="shared" si="0"/>
        <v>0</v>
      </c>
      <c r="G13" s="44" t="s">
        <v>25</v>
      </c>
      <c r="H13" s="41">
        <v>45781</v>
      </c>
      <c r="I13" s="45" t="s">
        <v>40</v>
      </c>
    </row>
    <row r="14" spans="1:10" ht="18.75">
      <c r="A14" s="41">
        <v>45758</v>
      </c>
      <c r="B14" s="42" t="s">
        <v>42</v>
      </c>
      <c r="C14" s="42">
        <v>1000204</v>
      </c>
      <c r="D14" s="43">
        <v>1600</v>
      </c>
      <c r="E14" s="46">
        <v>1600</v>
      </c>
      <c r="F14" s="54">
        <f t="shared" si="0"/>
        <v>0</v>
      </c>
      <c r="G14" s="44" t="s">
        <v>25</v>
      </c>
      <c r="H14" s="41">
        <v>45781</v>
      </c>
      <c r="I14" s="45" t="s">
        <v>43</v>
      </c>
    </row>
    <row r="15" spans="1:10" ht="18.75">
      <c r="A15" s="41">
        <v>45759</v>
      </c>
      <c r="B15" s="42" t="s">
        <v>5</v>
      </c>
      <c r="C15" s="42" t="s">
        <v>44</v>
      </c>
      <c r="D15" s="43">
        <v>4000</v>
      </c>
      <c r="E15" s="46">
        <v>4000</v>
      </c>
      <c r="F15" s="54">
        <f t="shared" si="0"/>
        <v>0</v>
      </c>
      <c r="G15" s="44" t="s">
        <v>25</v>
      </c>
      <c r="H15" s="41">
        <v>45781</v>
      </c>
      <c r="I15" s="45" t="s">
        <v>45</v>
      </c>
    </row>
    <row r="16" spans="1:10" ht="18.75">
      <c r="A16" s="41">
        <v>45758</v>
      </c>
      <c r="B16" s="42" t="s">
        <v>3</v>
      </c>
      <c r="C16" s="42" t="s">
        <v>46</v>
      </c>
      <c r="D16" s="43">
        <v>6040</v>
      </c>
      <c r="E16" s="46">
        <v>6040</v>
      </c>
      <c r="F16" s="54">
        <f t="shared" si="0"/>
        <v>0</v>
      </c>
      <c r="G16" s="44" t="s">
        <v>25</v>
      </c>
      <c r="H16" s="41">
        <v>45781</v>
      </c>
      <c r="I16" s="45" t="s">
        <v>38</v>
      </c>
    </row>
    <row r="17" spans="1:9" ht="18.75">
      <c r="A17" s="41">
        <v>45763</v>
      </c>
      <c r="B17" s="42" t="s">
        <v>47</v>
      </c>
      <c r="C17" s="42" t="s">
        <v>48</v>
      </c>
      <c r="D17" s="43">
        <v>1350</v>
      </c>
      <c r="E17" s="46">
        <v>1350</v>
      </c>
      <c r="F17" s="54">
        <f t="shared" si="0"/>
        <v>0</v>
      </c>
      <c r="G17" s="44" t="s">
        <v>25</v>
      </c>
      <c r="H17" s="41">
        <v>45781</v>
      </c>
      <c r="I17" s="45" t="s">
        <v>49</v>
      </c>
    </row>
    <row r="18" spans="1:9" ht="18.75">
      <c r="A18" s="41">
        <v>45766</v>
      </c>
      <c r="B18" s="42" t="s">
        <v>11</v>
      </c>
      <c r="C18" s="42" t="s">
        <v>50</v>
      </c>
      <c r="D18" s="43">
        <v>4595</v>
      </c>
      <c r="E18" s="46">
        <v>4595</v>
      </c>
      <c r="F18" s="54">
        <f t="shared" si="0"/>
        <v>0</v>
      </c>
      <c r="G18" s="44" t="s">
        <v>25</v>
      </c>
      <c r="H18" s="41">
        <v>45781</v>
      </c>
      <c r="I18" s="45" t="s">
        <v>40</v>
      </c>
    </row>
    <row r="19" spans="1:9" ht="18.75">
      <c r="A19" s="41">
        <v>45766</v>
      </c>
      <c r="B19" s="42" t="s">
        <v>51</v>
      </c>
      <c r="C19" s="42" t="s">
        <v>52</v>
      </c>
      <c r="D19" s="43">
        <v>5306</v>
      </c>
      <c r="E19" s="46">
        <v>5306</v>
      </c>
      <c r="F19" s="54">
        <f t="shared" si="0"/>
        <v>0</v>
      </c>
      <c r="G19" s="44" t="s">
        <v>25</v>
      </c>
      <c r="H19" s="41">
        <v>45781</v>
      </c>
      <c r="I19" s="45" t="s">
        <v>53</v>
      </c>
    </row>
    <row r="20" spans="1:9" ht="18.75">
      <c r="A20" s="41">
        <v>45765</v>
      </c>
      <c r="B20" s="42" t="s">
        <v>3</v>
      </c>
      <c r="C20" s="42" t="s">
        <v>54</v>
      </c>
      <c r="D20" s="43">
        <v>3952</v>
      </c>
      <c r="E20" s="46">
        <v>3952</v>
      </c>
      <c r="F20" s="54">
        <f t="shared" si="0"/>
        <v>0</v>
      </c>
      <c r="G20" s="44" t="s">
        <v>25</v>
      </c>
      <c r="H20" s="41">
        <v>45781</v>
      </c>
      <c r="I20" s="45" t="s">
        <v>38</v>
      </c>
    </row>
    <row r="21" spans="1:9" ht="18.75">
      <c r="A21" s="41">
        <v>45765</v>
      </c>
      <c r="B21" s="42" t="s">
        <v>10</v>
      </c>
      <c r="C21" s="42" t="s">
        <v>55</v>
      </c>
      <c r="D21" s="43">
        <v>54053</v>
      </c>
      <c r="E21" s="46">
        <v>54053</v>
      </c>
      <c r="F21" s="54">
        <f t="shared" si="0"/>
        <v>0</v>
      </c>
      <c r="G21" s="44" t="s">
        <v>25</v>
      </c>
      <c r="H21" s="41">
        <v>45781</v>
      </c>
      <c r="I21" s="45" t="s">
        <v>26</v>
      </c>
    </row>
    <row r="22" spans="1:9" ht="18.75">
      <c r="A22" s="41">
        <v>45766</v>
      </c>
      <c r="B22" s="42" t="s">
        <v>56</v>
      </c>
      <c r="C22" s="42" t="s">
        <v>57</v>
      </c>
      <c r="D22" s="43">
        <v>12620</v>
      </c>
      <c r="E22" s="46">
        <v>12620</v>
      </c>
      <c r="F22" s="54">
        <f t="shared" si="0"/>
        <v>0</v>
      </c>
      <c r="G22" s="44" t="s">
        <v>25</v>
      </c>
      <c r="H22" s="41">
        <v>45781</v>
      </c>
      <c r="I22" s="45" t="s">
        <v>58</v>
      </c>
    </row>
    <row r="23" spans="1:9" ht="18.75">
      <c r="A23" s="41">
        <v>45768</v>
      </c>
      <c r="B23" s="42" t="s">
        <v>12</v>
      </c>
      <c r="C23" s="42">
        <v>13</v>
      </c>
      <c r="D23" s="43">
        <v>1632</v>
      </c>
      <c r="E23" s="46">
        <v>1632</v>
      </c>
      <c r="F23" s="54">
        <f t="shared" si="0"/>
        <v>0</v>
      </c>
      <c r="G23" s="44" t="s">
        <v>25</v>
      </c>
      <c r="H23" s="41">
        <v>45781</v>
      </c>
      <c r="I23" s="45" t="s">
        <v>32</v>
      </c>
    </row>
    <row r="24" spans="1:9" ht="18.75">
      <c r="A24" s="41">
        <v>45769</v>
      </c>
      <c r="B24" s="42" t="s">
        <v>11</v>
      </c>
      <c r="C24" s="42" t="s">
        <v>59</v>
      </c>
      <c r="D24" s="43">
        <v>7020</v>
      </c>
      <c r="E24" s="46">
        <v>7020</v>
      </c>
      <c r="F24" s="54">
        <f t="shared" si="0"/>
        <v>0</v>
      </c>
      <c r="G24" s="44" t="s">
        <v>25</v>
      </c>
      <c r="H24" s="41">
        <v>45781</v>
      </c>
      <c r="I24" s="45" t="s">
        <v>40</v>
      </c>
    </row>
    <row r="25" spans="1:9" ht="18.75">
      <c r="A25" s="41">
        <v>45771</v>
      </c>
      <c r="B25" s="42" t="s">
        <v>4</v>
      </c>
      <c r="C25" s="42" t="s">
        <v>60</v>
      </c>
      <c r="D25" s="43">
        <v>6516</v>
      </c>
      <c r="E25" s="46">
        <v>6516</v>
      </c>
      <c r="F25" s="54">
        <f t="shared" si="0"/>
        <v>0</v>
      </c>
      <c r="G25" s="44" t="s">
        <v>25</v>
      </c>
      <c r="H25" s="41">
        <v>45781</v>
      </c>
      <c r="I25" s="45" t="s">
        <v>61</v>
      </c>
    </row>
    <row r="26" spans="1:9" ht="18.75">
      <c r="A26" s="41">
        <v>45771</v>
      </c>
      <c r="B26" s="42" t="s">
        <v>12</v>
      </c>
      <c r="C26" s="42">
        <v>15</v>
      </c>
      <c r="D26" s="43">
        <v>1170</v>
      </c>
      <c r="E26" s="46">
        <v>1170</v>
      </c>
      <c r="F26" s="54">
        <f t="shared" si="0"/>
        <v>0</v>
      </c>
      <c r="G26" s="44" t="s">
        <v>25</v>
      </c>
      <c r="H26" s="41">
        <v>45781</v>
      </c>
      <c r="I26" s="45" t="s">
        <v>32</v>
      </c>
    </row>
    <row r="27" spans="1:9" ht="18.75">
      <c r="A27" s="41">
        <v>45772</v>
      </c>
      <c r="B27" s="42" t="s">
        <v>4</v>
      </c>
      <c r="C27" s="42" t="s">
        <v>62</v>
      </c>
      <c r="D27" s="43">
        <v>2376</v>
      </c>
      <c r="E27" s="46">
        <v>2376</v>
      </c>
      <c r="F27" s="54">
        <f t="shared" si="0"/>
        <v>0</v>
      </c>
      <c r="G27" s="44" t="s">
        <v>25</v>
      </c>
      <c r="H27" s="41">
        <v>45781</v>
      </c>
      <c r="I27" s="45" t="s">
        <v>61</v>
      </c>
    </row>
    <row r="28" spans="1:9" ht="18.75">
      <c r="A28" s="41">
        <v>45775</v>
      </c>
      <c r="B28" s="42" t="s">
        <v>3</v>
      </c>
      <c r="C28" s="42" t="s">
        <v>63</v>
      </c>
      <c r="D28" s="43">
        <v>5410</v>
      </c>
      <c r="E28" s="46">
        <v>5410</v>
      </c>
      <c r="F28" s="54">
        <f t="shared" si="0"/>
        <v>0</v>
      </c>
      <c r="G28" s="44" t="s">
        <v>25</v>
      </c>
      <c r="H28" s="41">
        <v>45781</v>
      </c>
      <c r="I28" s="45" t="s">
        <v>38</v>
      </c>
    </row>
    <row r="29" spans="1:9" ht="18.75">
      <c r="A29" s="41">
        <v>45776</v>
      </c>
      <c r="B29" s="42" t="s">
        <v>51</v>
      </c>
      <c r="C29" s="42" t="s">
        <v>64</v>
      </c>
      <c r="D29" s="43">
        <v>1496</v>
      </c>
      <c r="E29" s="46">
        <v>1496</v>
      </c>
      <c r="F29" s="54">
        <f t="shared" si="0"/>
        <v>0</v>
      </c>
      <c r="G29" s="44" t="s">
        <v>25</v>
      </c>
      <c r="H29" s="41">
        <v>45781</v>
      </c>
      <c r="I29" s="45" t="s">
        <v>53</v>
      </c>
    </row>
    <row r="30" spans="1:9" ht="18.75">
      <c r="A30" s="41">
        <v>45776</v>
      </c>
      <c r="B30" s="42" t="s">
        <v>10</v>
      </c>
      <c r="C30" s="42" t="s">
        <v>65</v>
      </c>
      <c r="D30" s="43">
        <v>7745</v>
      </c>
      <c r="E30" s="46">
        <v>7745</v>
      </c>
      <c r="F30" s="54">
        <f t="shared" si="0"/>
        <v>0</v>
      </c>
      <c r="G30" s="44" t="s">
        <v>25</v>
      </c>
      <c r="H30" s="41">
        <v>45781</v>
      </c>
      <c r="I30" s="45" t="s">
        <v>26</v>
      </c>
    </row>
    <row r="31" spans="1:9" ht="18.75">
      <c r="A31" s="41">
        <v>45777</v>
      </c>
      <c r="B31" s="42" t="s">
        <v>11</v>
      </c>
      <c r="C31" s="42" t="s">
        <v>66</v>
      </c>
      <c r="D31" s="43">
        <v>7020</v>
      </c>
      <c r="E31" s="46">
        <v>7020</v>
      </c>
      <c r="F31" s="54">
        <f t="shared" si="0"/>
        <v>0</v>
      </c>
      <c r="G31" s="44" t="s">
        <v>25</v>
      </c>
      <c r="H31" s="41">
        <v>45781</v>
      </c>
      <c r="I31" s="45" t="s">
        <v>40</v>
      </c>
    </row>
    <row r="32" spans="1:9" ht="18.75">
      <c r="A32" s="41">
        <v>45778</v>
      </c>
      <c r="B32" s="42" t="s">
        <v>7</v>
      </c>
      <c r="C32" s="42" t="s">
        <v>67</v>
      </c>
      <c r="D32" s="43">
        <v>6232</v>
      </c>
      <c r="E32" s="46">
        <v>6232</v>
      </c>
      <c r="F32" s="54">
        <f t="shared" si="0"/>
        <v>0</v>
      </c>
      <c r="G32" s="44" t="s">
        <v>25</v>
      </c>
      <c r="H32" s="41">
        <v>45818</v>
      </c>
      <c r="I32" s="45" t="s">
        <v>68</v>
      </c>
    </row>
    <row r="33" spans="1:9" ht="18.75">
      <c r="A33" s="41">
        <v>45780</v>
      </c>
      <c r="B33" s="42" t="s">
        <v>69</v>
      </c>
      <c r="C33" s="42" t="s">
        <v>70</v>
      </c>
      <c r="D33" s="43">
        <v>784</v>
      </c>
      <c r="E33" s="46">
        <v>784</v>
      </c>
      <c r="F33" s="54">
        <f t="shared" si="0"/>
        <v>0</v>
      </c>
      <c r="G33" s="44" t="s">
        <v>25</v>
      </c>
      <c r="H33" s="41">
        <v>45823</v>
      </c>
      <c r="I33" s="45" t="s">
        <v>71</v>
      </c>
    </row>
    <row r="34" spans="1:9" ht="18.75">
      <c r="A34" s="41">
        <v>45780</v>
      </c>
      <c r="B34" s="42" t="s">
        <v>69</v>
      </c>
      <c r="C34" s="42" t="s">
        <v>72</v>
      </c>
      <c r="D34" s="43">
        <v>448</v>
      </c>
      <c r="E34" s="46">
        <v>448</v>
      </c>
      <c r="F34" s="54">
        <f t="shared" si="0"/>
        <v>0</v>
      </c>
      <c r="G34" s="44" t="s">
        <v>25</v>
      </c>
      <c r="H34" s="41">
        <v>45823</v>
      </c>
      <c r="I34" s="45" t="s">
        <v>71</v>
      </c>
    </row>
    <row r="35" spans="1:9" ht="18.75">
      <c r="A35" s="41">
        <v>45780</v>
      </c>
      <c r="B35" s="42" t="s">
        <v>10</v>
      </c>
      <c r="C35" s="42" t="s">
        <v>73</v>
      </c>
      <c r="D35" s="43">
        <v>12802</v>
      </c>
      <c r="E35" s="43">
        <v>12802</v>
      </c>
      <c r="F35" s="54">
        <f t="shared" si="0"/>
        <v>0</v>
      </c>
      <c r="G35" s="44" t="s">
        <v>25</v>
      </c>
      <c r="H35" s="41">
        <v>45818</v>
      </c>
      <c r="I35" s="45" t="s">
        <v>74</v>
      </c>
    </row>
    <row r="36" spans="1:9" ht="18.75">
      <c r="A36" s="41">
        <v>45782</v>
      </c>
      <c r="B36" s="42" t="s">
        <v>7</v>
      </c>
      <c r="C36" s="42" t="s">
        <v>75</v>
      </c>
      <c r="D36" s="43">
        <v>9348</v>
      </c>
      <c r="E36" s="46">
        <v>9348</v>
      </c>
      <c r="F36" s="54">
        <f t="shared" si="0"/>
        <v>0</v>
      </c>
      <c r="G36" s="44" t="s">
        <v>25</v>
      </c>
      <c r="H36" s="41">
        <v>45818</v>
      </c>
      <c r="I36" s="45" t="s">
        <v>68</v>
      </c>
    </row>
    <row r="37" spans="1:9" ht="18.75">
      <c r="A37" s="41">
        <v>45784</v>
      </c>
      <c r="B37" s="42" t="s">
        <v>42</v>
      </c>
      <c r="C37" s="42">
        <v>1000594</v>
      </c>
      <c r="D37" s="43">
        <v>2837</v>
      </c>
      <c r="E37" s="43">
        <v>2837</v>
      </c>
      <c r="F37" s="54">
        <f t="shared" si="0"/>
        <v>0</v>
      </c>
      <c r="G37" s="44" t="s">
        <v>25</v>
      </c>
      <c r="H37" s="41">
        <v>45818</v>
      </c>
      <c r="I37" s="45" t="s">
        <v>76</v>
      </c>
    </row>
    <row r="38" spans="1:9" ht="18.75">
      <c r="A38" s="41">
        <v>45789</v>
      </c>
      <c r="B38" s="42" t="s">
        <v>8</v>
      </c>
      <c r="C38" s="42">
        <v>494</v>
      </c>
      <c r="D38" s="43">
        <v>1049</v>
      </c>
      <c r="E38" s="43">
        <v>1049</v>
      </c>
      <c r="F38" s="54">
        <f t="shared" si="0"/>
        <v>0</v>
      </c>
      <c r="G38" s="44" t="s">
        <v>25</v>
      </c>
      <c r="H38" s="41">
        <v>45818</v>
      </c>
      <c r="I38" s="45" t="s">
        <v>77</v>
      </c>
    </row>
    <row r="39" spans="1:9" ht="18.75">
      <c r="A39" s="41">
        <v>45791</v>
      </c>
      <c r="B39" s="42" t="s">
        <v>11</v>
      </c>
      <c r="C39" s="42" t="s">
        <v>78</v>
      </c>
      <c r="D39" s="43">
        <v>7020</v>
      </c>
      <c r="E39" s="43">
        <v>7020</v>
      </c>
      <c r="F39" s="54">
        <f t="shared" si="0"/>
        <v>0</v>
      </c>
      <c r="G39" s="44" t="s">
        <v>25</v>
      </c>
      <c r="H39" s="41">
        <v>45818</v>
      </c>
      <c r="I39" s="45" t="s">
        <v>79</v>
      </c>
    </row>
    <row r="40" spans="1:9" ht="18.75">
      <c r="A40" s="41">
        <v>45790</v>
      </c>
      <c r="B40" s="42" t="s">
        <v>10</v>
      </c>
      <c r="C40" s="42" t="s">
        <v>80</v>
      </c>
      <c r="D40" s="43">
        <v>24937</v>
      </c>
      <c r="E40" s="43">
        <v>24937</v>
      </c>
      <c r="F40" s="54">
        <f t="shared" si="0"/>
        <v>0</v>
      </c>
      <c r="G40" s="44" t="s">
        <v>25</v>
      </c>
      <c r="H40" s="41">
        <v>45818</v>
      </c>
      <c r="I40" s="45" t="s">
        <v>74</v>
      </c>
    </row>
    <row r="41" spans="1:9" ht="18.75">
      <c r="A41" s="41">
        <v>45791</v>
      </c>
      <c r="B41" s="42" t="s">
        <v>7</v>
      </c>
      <c r="C41" s="42" t="s">
        <v>81</v>
      </c>
      <c r="D41" s="43">
        <v>15580</v>
      </c>
      <c r="E41" s="46">
        <v>15580</v>
      </c>
      <c r="F41" s="54">
        <f t="shared" si="0"/>
        <v>0</v>
      </c>
      <c r="G41" s="44" t="s">
        <v>25</v>
      </c>
      <c r="H41" s="41">
        <v>45818</v>
      </c>
      <c r="I41" s="45" t="s">
        <v>68</v>
      </c>
    </row>
    <row r="42" spans="1:9" ht="18.75">
      <c r="A42" s="41">
        <v>45790</v>
      </c>
      <c r="B42" s="42" t="s">
        <v>3</v>
      </c>
      <c r="C42" s="42" t="s">
        <v>82</v>
      </c>
      <c r="D42" s="46">
        <v>6297</v>
      </c>
      <c r="E42" s="46">
        <v>6297</v>
      </c>
      <c r="F42" s="54">
        <f t="shared" si="0"/>
        <v>0</v>
      </c>
      <c r="G42" s="44" t="s">
        <v>25</v>
      </c>
      <c r="H42" s="41">
        <v>45818</v>
      </c>
      <c r="I42" s="45" t="s">
        <v>83</v>
      </c>
    </row>
    <row r="43" spans="1:9" ht="18.75">
      <c r="A43" s="41">
        <v>45791</v>
      </c>
      <c r="B43" s="42" t="s">
        <v>12</v>
      </c>
      <c r="C43" s="42">
        <v>26</v>
      </c>
      <c r="D43" s="43">
        <v>930</v>
      </c>
      <c r="E43" s="43">
        <v>930</v>
      </c>
      <c r="F43" s="54">
        <f t="shared" si="0"/>
        <v>0</v>
      </c>
      <c r="G43" s="44" t="s">
        <v>25</v>
      </c>
      <c r="H43" s="41">
        <v>45818</v>
      </c>
      <c r="I43" s="45" t="s">
        <v>84</v>
      </c>
    </row>
    <row r="44" spans="1:9" ht="18.75">
      <c r="A44" s="41">
        <v>45792</v>
      </c>
      <c r="B44" s="42" t="s">
        <v>6</v>
      </c>
      <c r="C44" s="42" t="s">
        <v>85</v>
      </c>
      <c r="D44" s="43">
        <v>8361</v>
      </c>
      <c r="E44" s="43">
        <v>8361</v>
      </c>
      <c r="F44" s="54">
        <f t="shared" si="0"/>
        <v>0</v>
      </c>
      <c r="G44" s="44" t="s">
        <v>25</v>
      </c>
      <c r="H44" s="41">
        <v>45818</v>
      </c>
      <c r="I44" s="45" t="s">
        <v>86</v>
      </c>
    </row>
    <row r="45" spans="1:9" ht="18.75">
      <c r="A45" s="41">
        <v>45794</v>
      </c>
      <c r="B45" s="42" t="s">
        <v>10</v>
      </c>
      <c r="C45" s="42" t="s">
        <v>87</v>
      </c>
      <c r="D45" s="43">
        <v>16891</v>
      </c>
      <c r="E45" s="43">
        <v>16891</v>
      </c>
      <c r="F45" s="54">
        <f t="shared" si="0"/>
        <v>0</v>
      </c>
      <c r="G45" s="44" t="s">
        <v>25</v>
      </c>
      <c r="H45" s="41">
        <v>45818</v>
      </c>
      <c r="I45" s="45" t="s">
        <v>74</v>
      </c>
    </row>
    <row r="46" spans="1:9" ht="18.75">
      <c r="A46" s="41">
        <v>45793</v>
      </c>
      <c r="B46" s="42" t="s">
        <v>3</v>
      </c>
      <c r="C46" s="42" t="s">
        <v>88</v>
      </c>
      <c r="D46" s="43">
        <v>7200</v>
      </c>
      <c r="E46" s="43">
        <v>7200</v>
      </c>
      <c r="F46" s="54">
        <f t="shared" si="0"/>
        <v>0</v>
      </c>
      <c r="G46" s="44" t="s">
        <v>25</v>
      </c>
      <c r="H46" s="41">
        <v>45818</v>
      </c>
      <c r="I46" s="45" t="s">
        <v>83</v>
      </c>
    </row>
    <row r="47" spans="1:9" ht="18.75">
      <c r="A47" s="41">
        <v>45796</v>
      </c>
      <c r="B47" s="42" t="s">
        <v>7</v>
      </c>
      <c r="C47" s="42" t="s">
        <v>89</v>
      </c>
      <c r="D47" s="43">
        <v>3200</v>
      </c>
      <c r="E47" s="46">
        <v>3200</v>
      </c>
      <c r="F47" s="54">
        <f t="shared" si="0"/>
        <v>0</v>
      </c>
      <c r="G47" s="44" t="s">
        <v>25</v>
      </c>
      <c r="H47" s="41">
        <v>45818</v>
      </c>
      <c r="I47" s="45" t="s">
        <v>68</v>
      </c>
    </row>
    <row r="48" spans="1:9" ht="18.75">
      <c r="A48" s="41">
        <v>45797</v>
      </c>
      <c r="B48" s="42" t="s">
        <v>11</v>
      </c>
      <c r="C48" s="42" t="s">
        <v>90</v>
      </c>
      <c r="D48" s="43">
        <v>7020</v>
      </c>
      <c r="E48" s="43">
        <v>7020</v>
      </c>
      <c r="F48" s="54">
        <f t="shared" si="0"/>
        <v>0</v>
      </c>
      <c r="G48" s="44" t="s">
        <v>25</v>
      </c>
      <c r="H48" s="41">
        <v>45818</v>
      </c>
      <c r="I48" s="45" t="s">
        <v>79</v>
      </c>
    </row>
    <row r="49" spans="1:9" ht="18.75">
      <c r="A49" s="41">
        <v>45799</v>
      </c>
      <c r="B49" s="42" t="s">
        <v>91</v>
      </c>
      <c r="C49" s="42">
        <v>259</v>
      </c>
      <c r="D49" s="43">
        <v>1561</v>
      </c>
      <c r="E49" s="43">
        <v>1561</v>
      </c>
      <c r="F49" s="54">
        <f t="shared" si="0"/>
        <v>0</v>
      </c>
      <c r="G49" s="44" t="s">
        <v>25</v>
      </c>
      <c r="H49" s="41">
        <v>45818</v>
      </c>
      <c r="I49" s="45" t="s">
        <v>92</v>
      </c>
    </row>
    <row r="50" spans="1:9" ht="18.75">
      <c r="A50" s="41">
        <v>45799</v>
      </c>
      <c r="B50" s="42" t="s">
        <v>4</v>
      </c>
      <c r="C50" s="42" t="s">
        <v>93</v>
      </c>
      <c r="D50" s="43">
        <v>4858</v>
      </c>
      <c r="E50" s="43">
        <v>4858</v>
      </c>
      <c r="F50" s="54">
        <f t="shared" si="0"/>
        <v>0</v>
      </c>
      <c r="G50" s="44" t="s">
        <v>25</v>
      </c>
      <c r="H50" s="41">
        <v>45818</v>
      </c>
      <c r="I50" s="45" t="s">
        <v>94</v>
      </c>
    </row>
    <row r="51" spans="1:9" ht="18.75">
      <c r="A51" s="41">
        <v>45799</v>
      </c>
      <c r="B51" s="42" t="s">
        <v>12</v>
      </c>
      <c r="C51" s="42">
        <v>29</v>
      </c>
      <c r="D51" s="43">
        <v>1615</v>
      </c>
      <c r="E51" s="43">
        <v>1615</v>
      </c>
      <c r="F51" s="54">
        <f t="shared" si="0"/>
        <v>0</v>
      </c>
      <c r="G51" s="44" t="s">
        <v>25</v>
      </c>
      <c r="H51" s="41">
        <v>45818</v>
      </c>
      <c r="I51" s="45" t="s">
        <v>84</v>
      </c>
    </row>
    <row r="52" spans="1:9" ht="18.75">
      <c r="A52" s="41">
        <v>45803</v>
      </c>
      <c r="B52" s="42" t="s">
        <v>10</v>
      </c>
      <c r="C52" s="42" t="s">
        <v>95</v>
      </c>
      <c r="D52" s="43">
        <v>24929</v>
      </c>
      <c r="E52" s="43">
        <v>24929</v>
      </c>
      <c r="F52" s="54">
        <f t="shared" si="0"/>
        <v>0</v>
      </c>
      <c r="G52" s="44" t="s">
        <v>25</v>
      </c>
      <c r="H52" s="41">
        <v>45818</v>
      </c>
      <c r="I52" s="45" t="s">
        <v>74</v>
      </c>
    </row>
    <row r="53" spans="1:9" ht="18.75">
      <c r="A53" s="41">
        <v>45804</v>
      </c>
      <c r="B53" s="42" t="s">
        <v>47</v>
      </c>
      <c r="C53" s="42" t="s">
        <v>96</v>
      </c>
      <c r="D53" s="43">
        <v>6100</v>
      </c>
      <c r="E53" s="43">
        <v>6100</v>
      </c>
      <c r="F53" s="54">
        <f t="shared" si="0"/>
        <v>0</v>
      </c>
      <c r="G53" s="44" t="s">
        <v>25</v>
      </c>
      <c r="H53" s="41">
        <v>45818</v>
      </c>
      <c r="I53" s="45" t="s">
        <v>97</v>
      </c>
    </row>
    <row r="54" spans="1:9" ht="18.75">
      <c r="A54" s="41">
        <v>45804</v>
      </c>
      <c r="B54" s="42" t="s">
        <v>11</v>
      </c>
      <c r="C54" s="42" t="s">
        <v>98</v>
      </c>
      <c r="D54" s="43">
        <v>7020</v>
      </c>
      <c r="E54" s="43">
        <v>7020</v>
      </c>
      <c r="F54" s="54">
        <f t="shared" si="0"/>
        <v>0</v>
      </c>
      <c r="G54" s="44" t="s">
        <v>25</v>
      </c>
      <c r="H54" s="41">
        <v>45818</v>
      </c>
      <c r="I54" s="45" t="s">
        <v>79</v>
      </c>
    </row>
    <row r="55" spans="1:9" ht="18.75">
      <c r="A55" s="41">
        <v>45805</v>
      </c>
      <c r="B55" s="42" t="s">
        <v>47</v>
      </c>
      <c r="C55" s="42" t="s">
        <v>99</v>
      </c>
      <c r="D55" s="43">
        <v>381</v>
      </c>
      <c r="E55" s="43">
        <v>381</v>
      </c>
      <c r="F55" s="54">
        <f t="shared" si="0"/>
        <v>0</v>
      </c>
      <c r="G55" s="44" t="s">
        <v>25</v>
      </c>
      <c r="H55" s="41">
        <v>45818</v>
      </c>
      <c r="I55" s="45" t="s">
        <v>97</v>
      </c>
    </row>
    <row r="56" spans="1:9" ht="18.75">
      <c r="A56" s="41">
        <v>45806</v>
      </c>
      <c r="B56" s="42" t="s">
        <v>12</v>
      </c>
      <c r="C56" s="42">
        <v>34</v>
      </c>
      <c r="D56" s="43">
        <v>835</v>
      </c>
      <c r="E56" s="43">
        <v>835</v>
      </c>
      <c r="F56" s="54">
        <f t="shared" si="0"/>
        <v>0</v>
      </c>
      <c r="G56" s="44" t="s">
        <v>25</v>
      </c>
      <c r="H56" s="41">
        <v>45818</v>
      </c>
      <c r="I56" s="45" t="s">
        <v>84</v>
      </c>
    </row>
    <row r="57" spans="1:9" ht="18.75">
      <c r="A57" s="41">
        <v>45811</v>
      </c>
      <c r="B57" s="42" t="s">
        <v>9</v>
      </c>
      <c r="C57" s="42" t="s">
        <v>100</v>
      </c>
      <c r="D57" s="43">
        <v>30010</v>
      </c>
      <c r="E57" s="46">
        <v>30010</v>
      </c>
      <c r="F57" s="54">
        <f t="shared" si="0"/>
        <v>0</v>
      </c>
      <c r="G57" s="44" t="s">
        <v>25</v>
      </c>
      <c r="H57" s="41">
        <v>45848</v>
      </c>
      <c r="I57" s="45" t="s">
        <v>101</v>
      </c>
    </row>
    <row r="58" spans="1:9" ht="18.75">
      <c r="A58" s="41">
        <v>45811</v>
      </c>
      <c r="B58" s="42" t="s">
        <v>91</v>
      </c>
      <c r="C58" s="42">
        <v>305</v>
      </c>
      <c r="D58" s="43">
        <v>5201</v>
      </c>
      <c r="E58" s="46">
        <v>5201</v>
      </c>
      <c r="F58" s="54">
        <f t="shared" si="0"/>
        <v>0</v>
      </c>
      <c r="G58" s="44" t="s">
        <v>25</v>
      </c>
      <c r="H58" s="41">
        <v>45848</v>
      </c>
      <c r="I58" s="45" t="s">
        <v>102</v>
      </c>
    </row>
    <row r="59" spans="1:9" ht="18.75">
      <c r="A59" s="41">
        <v>45814</v>
      </c>
      <c r="B59" s="42" t="s">
        <v>12</v>
      </c>
      <c r="C59" s="42">
        <v>38</v>
      </c>
      <c r="D59" s="43">
        <v>2175</v>
      </c>
      <c r="E59" s="46">
        <v>2175</v>
      </c>
      <c r="F59" s="54">
        <f t="shared" si="0"/>
        <v>0</v>
      </c>
      <c r="G59" s="44" t="s">
        <v>25</v>
      </c>
      <c r="H59" s="41">
        <v>45848</v>
      </c>
      <c r="I59" s="45" t="s">
        <v>103</v>
      </c>
    </row>
    <row r="60" spans="1:9" ht="18.75">
      <c r="A60" s="41">
        <v>45814</v>
      </c>
      <c r="B60" s="42" t="s">
        <v>12</v>
      </c>
      <c r="C60" s="42">
        <v>39</v>
      </c>
      <c r="D60" s="43">
        <v>930</v>
      </c>
      <c r="E60" s="46">
        <v>930</v>
      </c>
      <c r="F60" s="54">
        <f t="shared" si="0"/>
        <v>0</v>
      </c>
      <c r="G60" s="44" t="s">
        <v>25</v>
      </c>
      <c r="H60" s="41">
        <v>45848</v>
      </c>
      <c r="I60" s="45" t="s">
        <v>103</v>
      </c>
    </row>
    <row r="61" spans="1:9" ht="18.75">
      <c r="A61" s="41">
        <v>45814</v>
      </c>
      <c r="B61" s="42" t="s">
        <v>10</v>
      </c>
      <c r="C61" s="42" t="s">
        <v>104</v>
      </c>
      <c r="D61" s="43">
        <v>6674</v>
      </c>
      <c r="E61" s="46">
        <v>6674</v>
      </c>
      <c r="F61" s="54">
        <f t="shared" si="0"/>
        <v>0</v>
      </c>
      <c r="G61" s="44" t="s">
        <v>25</v>
      </c>
      <c r="H61" s="41">
        <v>45848</v>
      </c>
      <c r="I61" s="45" t="s">
        <v>105</v>
      </c>
    </row>
    <row r="62" spans="1:9" ht="18.75">
      <c r="A62" s="41">
        <v>45815</v>
      </c>
      <c r="B62" s="42" t="s">
        <v>10</v>
      </c>
      <c r="C62" s="42" t="s">
        <v>106</v>
      </c>
      <c r="D62" s="43">
        <v>22451</v>
      </c>
      <c r="E62" s="46">
        <v>22451</v>
      </c>
      <c r="F62" s="54">
        <f t="shared" si="0"/>
        <v>0</v>
      </c>
      <c r="G62" s="44" t="s">
        <v>25</v>
      </c>
      <c r="H62" s="41">
        <v>45848</v>
      </c>
      <c r="I62" s="45" t="s">
        <v>105</v>
      </c>
    </row>
    <row r="63" spans="1:9" ht="18.75">
      <c r="A63" s="41">
        <v>45815</v>
      </c>
      <c r="B63" s="42" t="s">
        <v>11</v>
      </c>
      <c r="C63" s="42" t="s">
        <v>107</v>
      </c>
      <c r="D63" s="43">
        <v>7020</v>
      </c>
      <c r="E63" s="46">
        <v>7020</v>
      </c>
      <c r="F63" s="54">
        <f t="shared" si="0"/>
        <v>0</v>
      </c>
      <c r="G63" s="44" t="s">
        <v>25</v>
      </c>
      <c r="H63" s="41">
        <v>45848</v>
      </c>
      <c r="I63" s="45" t="s">
        <v>108</v>
      </c>
    </row>
    <row r="64" spans="1:9" ht="18.75">
      <c r="A64" s="41">
        <v>45815</v>
      </c>
      <c r="B64" s="42" t="s">
        <v>12</v>
      </c>
      <c r="C64" s="42">
        <v>31</v>
      </c>
      <c r="D64" s="43">
        <v>1520</v>
      </c>
      <c r="E64" s="46">
        <v>1520</v>
      </c>
      <c r="F64" s="54">
        <f t="shared" si="0"/>
        <v>0</v>
      </c>
      <c r="G64" s="44" t="s">
        <v>25</v>
      </c>
      <c r="H64" s="41">
        <v>45848</v>
      </c>
      <c r="I64" s="45" t="s">
        <v>103</v>
      </c>
    </row>
    <row r="65" spans="1:9" ht="18.75">
      <c r="A65" s="41">
        <v>45817</v>
      </c>
      <c r="B65" s="42" t="s">
        <v>42</v>
      </c>
      <c r="C65" s="42" t="s">
        <v>109</v>
      </c>
      <c r="D65" s="43">
        <v>1009</v>
      </c>
      <c r="E65" s="46">
        <v>1009</v>
      </c>
      <c r="F65" s="54">
        <f t="shared" si="0"/>
        <v>0</v>
      </c>
      <c r="G65" s="44" t="s">
        <v>25</v>
      </c>
      <c r="H65" s="41">
        <v>45848</v>
      </c>
      <c r="I65" s="45" t="s">
        <v>110</v>
      </c>
    </row>
    <row r="66" spans="1:9" ht="18.75">
      <c r="A66" s="41">
        <v>45818</v>
      </c>
      <c r="B66" s="42" t="s">
        <v>3</v>
      </c>
      <c r="C66" s="42" t="s">
        <v>111</v>
      </c>
      <c r="D66" s="43">
        <v>4336</v>
      </c>
      <c r="E66" s="46">
        <v>4336</v>
      </c>
      <c r="F66" s="54">
        <f t="shared" si="0"/>
        <v>0</v>
      </c>
      <c r="G66" s="44" t="s">
        <v>25</v>
      </c>
      <c r="H66" s="41">
        <v>45848</v>
      </c>
      <c r="I66" s="45" t="s">
        <v>112</v>
      </c>
    </row>
    <row r="67" spans="1:9" ht="18.75">
      <c r="A67" s="41">
        <v>45821</v>
      </c>
      <c r="B67" s="42" t="s">
        <v>7</v>
      </c>
      <c r="C67" s="42" t="s">
        <v>113</v>
      </c>
      <c r="D67" s="43">
        <v>9114</v>
      </c>
      <c r="E67" s="46">
        <v>9114</v>
      </c>
      <c r="F67" s="54">
        <f t="shared" si="0"/>
        <v>0</v>
      </c>
      <c r="G67" s="44" t="s">
        <v>25</v>
      </c>
      <c r="H67" s="41">
        <v>45848</v>
      </c>
      <c r="I67" s="45" t="s">
        <v>114</v>
      </c>
    </row>
    <row r="68" spans="1:9" ht="18.75">
      <c r="A68" s="41">
        <v>45825</v>
      </c>
      <c r="B68" s="42" t="s">
        <v>8</v>
      </c>
      <c r="C68" s="42">
        <v>950</v>
      </c>
      <c r="D68" s="43">
        <v>3877</v>
      </c>
      <c r="E68" s="46">
        <v>3877</v>
      </c>
      <c r="F68" s="54">
        <f t="shared" si="0"/>
        <v>0</v>
      </c>
      <c r="G68" s="44" t="s">
        <v>25</v>
      </c>
      <c r="H68" s="41">
        <v>45867</v>
      </c>
      <c r="I68" s="45" t="s">
        <v>115</v>
      </c>
    </row>
    <row r="69" spans="1:9" ht="18.75">
      <c r="A69" s="41">
        <v>45825</v>
      </c>
      <c r="B69" s="42" t="s">
        <v>11</v>
      </c>
      <c r="C69" s="42" t="s">
        <v>116</v>
      </c>
      <c r="D69" s="43">
        <v>7020</v>
      </c>
      <c r="E69" s="46">
        <v>7020</v>
      </c>
      <c r="F69" s="54">
        <f t="shared" ref="F69:F109" si="1">F68+D69-E69</f>
        <v>0</v>
      </c>
      <c r="G69" s="44" t="s">
        <v>25</v>
      </c>
      <c r="H69" s="41">
        <v>45848</v>
      </c>
      <c r="I69" s="45" t="s">
        <v>108</v>
      </c>
    </row>
    <row r="70" spans="1:9" ht="18.75">
      <c r="A70" s="41">
        <v>45824</v>
      </c>
      <c r="B70" s="42" t="s">
        <v>8</v>
      </c>
      <c r="C70" s="42">
        <v>939</v>
      </c>
      <c r="D70" s="43">
        <v>890</v>
      </c>
      <c r="E70" s="46">
        <v>890</v>
      </c>
      <c r="F70" s="54">
        <f t="shared" si="1"/>
        <v>0</v>
      </c>
      <c r="G70" s="44" t="s">
        <v>25</v>
      </c>
      <c r="H70" s="41">
        <v>45867</v>
      </c>
      <c r="I70" s="45" t="s">
        <v>115</v>
      </c>
    </row>
    <row r="71" spans="1:9" ht="18.75">
      <c r="A71" s="41">
        <v>45827</v>
      </c>
      <c r="B71" s="42" t="s">
        <v>42</v>
      </c>
      <c r="C71" s="42" t="s">
        <v>117</v>
      </c>
      <c r="D71" s="43">
        <v>504</v>
      </c>
      <c r="E71" s="46">
        <v>504</v>
      </c>
      <c r="F71" s="54">
        <f t="shared" si="1"/>
        <v>0</v>
      </c>
      <c r="G71" s="44" t="s">
        <v>25</v>
      </c>
      <c r="H71" s="41">
        <v>45848</v>
      </c>
      <c r="I71" s="45" t="s">
        <v>110</v>
      </c>
    </row>
    <row r="72" spans="1:9" ht="18.75">
      <c r="A72" s="41">
        <v>45827</v>
      </c>
      <c r="B72" s="42" t="s">
        <v>8</v>
      </c>
      <c r="C72" s="42">
        <v>992</v>
      </c>
      <c r="D72" s="43">
        <v>381</v>
      </c>
      <c r="E72" s="46">
        <v>381</v>
      </c>
      <c r="F72" s="54">
        <f t="shared" si="1"/>
        <v>0</v>
      </c>
      <c r="G72" s="44" t="s">
        <v>25</v>
      </c>
      <c r="H72" s="41">
        <v>45867</v>
      </c>
      <c r="I72" s="45" t="s">
        <v>115</v>
      </c>
    </row>
    <row r="73" spans="1:9" ht="18.75">
      <c r="A73" s="41">
        <v>45824</v>
      </c>
      <c r="B73" s="42" t="s">
        <v>7</v>
      </c>
      <c r="C73" s="42" t="s">
        <v>118</v>
      </c>
      <c r="D73" s="43">
        <v>15580</v>
      </c>
      <c r="E73" s="46">
        <v>15580</v>
      </c>
      <c r="F73" s="54">
        <f t="shared" si="1"/>
        <v>0</v>
      </c>
      <c r="G73" s="44" t="s">
        <v>25</v>
      </c>
      <c r="H73" s="41">
        <v>45848</v>
      </c>
      <c r="I73" s="45" t="s">
        <v>114</v>
      </c>
    </row>
    <row r="74" spans="1:9" ht="18.75">
      <c r="A74" s="41">
        <v>45831</v>
      </c>
      <c r="B74" s="42" t="s">
        <v>10</v>
      </c>
      <c r="C74" s="42" t="s">
        <v>119</v>
      </c>
      <c r="D74" s="43">
        <v>51262</v>
      </c>
      <c r="E74" s="46">
        <v>51262</v>
      </c>
      <c r="F74" s="54">
        <f t="shared" si="1"/>
        <v>0</v>
      </c>
      <c r="G74" s="44" t="s">
        <v>25</v>
      </c>
      <c r="H74" s="41">
        <v>45848</v>
      </c>
      <c r="I74" s="45" t="s">
        <v>105</v>
      </c>
    </row>
    <row r="75" spans="1:9" ht="18.75">
      <c r="A75" s="41">
        <v>45831</v>
      </c>
      <c r="B75" s="42" t="s">
        <v>10</v>
      </c>
      <c r="C75" s="42" t="s">
        <v>120</v>
      </c>
      <c r="D75" s="43">
        <v>3543</v>
      </c>
      <c r="E75" s="46">
        <v>3543</v>
      </c>
      <c r="F75" s="54">
        <f t="shared" si="1"/>
        <v>0</v>
      </c>
      <c r="G75" s="44" t="s">
        <v>25</v>
      </c>
      <c r="H75" s="41">
        <v>45848</v>
      </c>
      <c r="I75" s="45" t="s">
        <v>105</v>
      </c>
    </row>
    <row r="76" spans="1:9" ht="18.75">
      <c r="A76" s="41">
        <v>45831</v>
      </c>
      <c r="B76" s="42" t="s">
        <v>11</v>
      </c>
      <c r="C76" s="42" t="s">
        <v>121</v>
      </c>
      <c r="D76" s="43">
        <v>8424</v>
      </c>
      <c r="E76" s="46">
        <v>8424</v>
      </c>
      <c r="F76" s="54">
        <f t="shared" si="1"/>
        <v>0</v>
      </c>
      <c r="G76" s="44" t="s">
        <v>25</v>
      </c>
      <c r="H76" s="41">
        <v>45848</v>
      </c>
      <c r="I76" s="45" t="s">
        <v>108</v>
      </c>
    </row>
    <row r="77" spans="1:9" ht="18.75">
      <c r="A77" s="41">
        <v>45832</v>
      </c>
      <c r="B77" s="42" t="s">
        <v>4</v>
      </c>
      <c r="C77" s="42" t="s">
        <v>122</v>
      </c>
      <c r="D77" s="43">
        <v>1584</v>
      </c>
      <c r="E77" s="46">
        <v>1584</v>
      </c>
      <c r="F77" s="54">
        <f t="shared" si="1"/>
        <v>0</v>
      </c>
      <c r="G77" s="44" t="s">
        <v>25</v>
      </c>
      <c r="H77" s="41">
        <v>45848</v>
      </c>
      <c r="I77" s="45" t="s">
        <v>123</v>
      </c>
    </row>
    <row r="78" spans="1:9" ht="18.75">
      <c r="A78" s="41">
        <v>45832</v>
      </c>
      <c r="B78" s="42" t="s">
        <v>10</v>
      </c>
      <c r="C78" s="42" t="s">
        <v>124</v>
      </c>
      <c r="D78" s="43">
        <v>2986</v>
      </c>
      <c r="E78" s="46">
        <v>2986</v>
      </c>
      <c r="F78" s="54">
        <f t="shared" si="1"/>
        <v>0</v>
      </c>
      <c r="G78" s="44" t="s">
        <v>25</v>
      </c>
      <c r="H78" s="41">
        <v>45848</v>
      </c>
      <c r="I78" s="45" t="s">
        <v>105</v>
      </c>
    </row>
    <row r="79" spans="1:9" ht="18.75">
      <c r="A79" s="41">
        <v>45833</v>
      </c>
      <c r="B79" s="42" t="s">
        <v>7</v>
      </c>
      <c r="C79" s="42" t="s">
        <v>125</v>
      </c>
      <c r="D79" s="43">
        <v>8187</v>
      </c>
      <c r="E79" s="46">
        <v>8187</v>
      </c>
      <c r="F79" s="54">
        <f t="shared" si="1"/>
        <v>0</v>
      </c>
      <c r="G79" s="44" t="s">
        <v>25</v>
      </c>
      <c r="H79" s="41">
        <v>45848</v>
      </c>
      <c r="I79" s="45" t="s">
        <v>114</v>
      </c>
    </row>
    <row r="80" spans="1:9" ht="18.75">
      <c r="A80" s="41">
        <v>45833</v>
      </c>
      <c r="B80" s="42" t="s">
        <v>12</v>
      </c>
      <c r="C80" s="42">
        <v>44</v>
      </c>
      <c r="D80" s="43">
        <v>930</v>
      </c>
      <c r="E80" s="46">
        <v>930</v>
      </c>
      <c r="F80" s="54">
        <f t="shared" si="1"/>
        <v>0</v>
      </c>
      <c r="G80" s="44" t="s">
        <v>25</v>
      </c>
      <c r="H80" s="41">
        <v>45848</v>
      </c>
      <c r="I80" s="45" t="s">
        <v>103</v>
      </c>
    </row>
    <row r="81" spans="1:9" ht="18.75">
      <c r="A81" s="41">
        <v>45833</v>
      </c>
      <c r="B81" s="42" t="s">
        <v>91</v>
      </c>
      <c r="C81" s="42">
        <v>448</v>
      </c>
      <c r="D81" s="43">
        <v>5201</v>
      </c>
      <c r="E81" s="46">
        <v>5201</v>
      </c>
      <c r="F81" s="54">
        <f t="shared" si="1"/>
        <v>0</v>
      </c>
      <c r="G81" s="44" t="s">
        <v>25</v>
      </c>
      <c r="H81" s="41">
        <v>45848</v>
      </c>
      <c r="I81" s="45" t="s">
        <v>102</v>
      </c>
    </row>
    <row r="82" spans="1:9" ht="18.75">
      <c r="A82" s="41">
        <v>45838</v>
      </c>
      <c r="B82" s="42" t="s">
        <v>9</v>
      </c>
      <c r="C82" s="42" t="s">
        <v>126</v>
      </c>
      <c r="D82" s="43">
        <v>3360</v>
      </c>
      <c r="E82" s="46">
        <v>3360</v>
      </c>
      <c r="F82" s="54">
        <f t="shared" si="1"/>
        <v>0</v>
      </c>
      <c r="G82" s="44" t="s">
        <v>25</v>
      </c>
      <c r="H82" s="41">
        <v>45848</v>
      </c>
      <c r="I82" s="45" t="s">
        <v>101</v>
      </c>
    </row>
    <row r="83" spans="1:9" ht="18.75">
      <c r="A83" s="41">
        <v>45838</v>
      </c>
      <c r="B83" s="42" t="s">
        <v>10</v>
      </c>
      <c r="C83" s="42" t="s">
        <v>127</v>
      </c>
      <c r="D83" s="43">
        <v>19851</v>
      </c>
      <c r="E83" s="46">
        <v>19851</v>
      </c>
      <c r="F83" s="54">
        <f t="shared" si="1"/>
        <v>0</v>
      </c>
      <c r="G83" s="44" t="s">
        <v>25</v>
      </c>
      <c r="H83" s="41">
        <v>45848</v>
      </c>
      <c r="I83" s="45" t="s">
        <v>105</v>
      </c>
    </row>
    <row r="84" spans="1:9" ht="18.75">
      <c r="A84" s="41">
        <v>45846</v>
      </c>
      <c r="B84" s="42" t="s">
        <v>11</v>
      </c>
      <c r="C84" s="42" t="s">
        <v>128</v>
      </c>
      <c r="D84" s="43">
        <v>7020</v>
      </c>
      <c r="E84" s="46">
        <v>7020</v>
      </c>
      <c r="F84" s="54">
        <f t="shared" si="1"/>
        <v>0</v>
      </c>
      <c r="G84" s="44" t="s">
        <v>25</v>
      </c>
      <c r="H84" s="41">
        <v>45882</v>
      </c>
      <c r="I84" s="45" t="s">
        <v>129</v>
      </c>
    </row>
    <row r="85" spans="1:9" ht="18.75">
      <c r="A85" s="41">
        <v>45846</v>
      </c>
      <c r="B85" s="42" t="s">
        <v>51</v>
      </c>
      <c r="C85" s="42" t="s">
        <v>130</v>
      </c>
      <c r="D85" s="43">
        <v>2062</v>
      </c>
      <c r="E85" s="46">
        <v>2062</v>
      </c>
      <c r="F85" s="54">
        <f t="shared" si="1"/>
        <v>0</v>
      </c>
      <c r="G85" s="44" t="s">
        <v>25</v>
      </c>
      <c r="H85" s="41">
        <v>45882</v>
      </c>
      <c r="I85" s="45" t="s">
        <v>131</v>
      </c>
    </row>
    <row r="86" spans="1:9" ht="18.75">
      <c r="A86" s="41">
        <v>45842</v>
      </c>
      <c r="B86" s="42" t="s">
        <v>10</v>
      </c>
      <c r="C86" s="42" t="s">
        <v>132</v>
      </c>
      <c r="D86" s="43">
        <v>21503</v>
      </c>
      <c r="E86" s="46">
        <v>21503</v>
      </c>
      <c r="F86" s="54">
        <f t="shared" si="1"/>
        <v>0</v>
      </c>
      <c r="G86" s="44" t="s">
        <v>25</v>
      </c>
      <c r="H86" s="41">
        <v>45882</v>
      </c>
      <c r="I86" s="45" t="s">
        <v>133</v>
      </c>
    </row>
    <row r="87" spans="1:9" ht="18.75">
      <c r="A87" s="41">
        <v>45849</v>
      </c>
      <c r="B87" s="42" t="s">
        <v>51</v>
      </c>
      <c r="C87" s="42" t="s">
        <v>134</v>
      </c>
      <c r="D87" s="43">
        <v>1496</v>
      </c>
      <c r="E87" s="46">
        <v>1496</v>
      </c>
      <c r="F87" s="54">
        <f t="shared" si="1"/>
        <v>0</v>
      </c>
      <c r="G87" s="44" t="s">
        <v>25</v>
      </c>
      <c r="H87" s="41">
        <v>45882</v>
      </c>
      <c r="I87" s="45" t="s">
        <v>131</v>
      </c>
    </row>
    <row r="88" spans="1:9" ht="18.75">
      <c r="A88" s="41">
        <v>45852</v>
      </c>
      <c r="B88" s="42" t="s">
        <v>12</v>
      </c>
      <c r="C88" s="42">
        <v>52</v>
      </c>
      <c r="D88" s="43">
        <v>1170</v>
      </c>
      <c r="E88" s="46">
        <v>1170</v>
      </c>
      <c r="F88" s="54">
        <f t="shared" si="1"/>
        <v>0</v>
      </c>
      <c r="G88" s="44" t="s">
        <v>25</v>
      </c>
      <c r="H88" s="41">
        <v>45882</v>
      </c>
      <c r="I88" s="45" t="s">
        <v>135</v>
      </c>
    </row>
    <row r="89" spans="1:9" ht="18.75">
      <c r="A89" s="41">
        <v>45850</v>
      </c>
      <c r="B89" s="42" t="s">
        <v>10</v>
      </c>
      <c r="C89" s="42" t="s">
        <v>136</v>
      </c>
      <c r="D89" s="43">
        <v>23360</v>
      </c>
      <c r="E89" s="46">
        <v>23360</v>
      </c>
      <c r="F89" s="54">
        <f t="shared" si="1"/>
        <v>0</v>
      </c>
      <c r="G89" s="44" t="s">
        <v>25</v>
      </c>
      <c r="H89" s="41">
        <v>45882</v>
      </c>
      <c r="I89" s="45" t="s">
        <v>133</v>
      </c>
    </row>
    <row r="90" spans="1:9" ht="18.75">
      <c r="A90" s="41">
        <v>45855</v>
      </c>
      <c r="B90" s="42" t="s">
        <v>7</v>
      </c>
      <c r="C90" s="42" t="s">
        <v>137</v>
      </c>
      <c r="D90" s="43">
        <v>3731</v>
      </c>
      <c r="E90" s="46">
        <v>3731</v>
      </c>
      <c r="F90" s="54">
        <f t="shared" si="1"/>
        <v>0</v>
      </c>
      <c r="G90" s="44" t="s">
        <v>25</v>
      </c>
      <c r="H90" s="41">
        <v>45882</v>
      </c>
      <c r="I90" s="45" t="s">
        <v>138</v>
      </c>
    </row>
    <row r="91" spans="1:9" ht="18.75">
      <c r="A91" s="41">
        <v>45856</v>
      </c>
      <c r="B91" s="42" t="s">
        <v>7</v>
      </c>
      <c r="C91" s="42" t="s">
        <v>139</v>
      </c>
      <c r="D91" s="43">
        <v>15580</v>
      </c>
      <c r="E91" s="46">
        <v>15580</v>
      </c>
      <c r="F91" s="54">
        <f t="shared" si="1"/>
        <v>0</v>
      </c>
      <c r="G91" s="44" t="s">
        <v>25</v>
      </c>
      <c r="H91" s="41">
        <v>45882</v>
      </c>
      <c r="I91" s="45" t="s">
        <v>138</v>
      </c>
    </row>
    <row r="92" spans="1:9" ht="18.75">
      <c r="A92" s="41">
        <v>45857</v>
      </c>
      <c r="B92" s="42" t="s">
        <v>12</v>
      </c>
      <c r="C92" s="42">
        <v>54</v>
      </c>
      <c r="D92" s="43">
        <v>1495</v>
      </c>
      <c r="E92" s="46">
        <v>1495</v>
      </c>
      <c r="F92" s="54">
        <f t="shared" si="1"/>
        <v>0</v>
      </c>
      <c r="G92" s="44" t="s">
        <v>25</v>
      </c>
      <c r="H92" s="41">
        <v>45882</v>
      </c>
      <c r="I92" s="45" t="s">
        <v>135</v>
      </c>
    </row>
    <row r="93" spans="1:9" ht="18.75">
      <c r="A93" s="41">
        <v>45854</v>
      </c>
      <c r="B93" s="42" t="s">
        <v>4</v>
      </c>
      <c r="C93" s="42" t="s">
        <v>140</v>
      </c>
      <c r="D93" s="43">
        <v>1831</v>
      </c>
      <c r="E93" s="46">
        <v>1831</v>
      </c>
      <c r="F93" s="54">
        <f t="shared" si="1"/>
        <v>0</v>
      </c>
      <c r="G93" s="44" t="s">
        <v>25</v>
      </c>
      <c r="H93" s="41">
        <v>45882</v>
      </c>
      <c r="I93" s="45" t="s">
        <v>141</v>
      </c>
    </row>
    <row r="94" spans="1:9" ht="18.75">
      <c r="A94" s="41">
        <v>45855</v>
      </c>
      <c r="B94" s="42" t="s">
        <v>3</v>
      </c>
      <c r="C94" s="42" t="s">
        <v>142</v>
      </c>
      <c r="D94" s="43">
        <v>6040</v>
      </c>
      <c r="E94" s="46">
        <v>6040</v>
      </c>
      <c r="F94" s="54">
        <f t="shared" si="1"/>
        <v>0</v>
      </c>
      <c r="G94" s="44" t="s">
        <v>25</v>
      </c>
      <c r="H94" s="41">
        <v>45882</v>
      </c>
      <c r="I94" s="45" t="s">
        <v>143</v>
      </c>
    </row>
    <row r="95" spans="1:9" ht="18.75">
      <c r="A95" s="41">
        <v>45855</v>
      </c>
      <c r="B95" s="42" t="s">
        <v>11</v>
      </c>
      <c r="C95" s="42" t="s">
        <v>144</v>
      </c>
      <c r="D95" s="43">
        <v>7020</v>
      </c>
      <c r="E95" s="46">
        <v>7020</v>
      </c>
      <c r="F95" s="54">
        <f t="shared" si="1"/>
        <v>0</v>
      </c>
      <c r="G95" s="44" t="s">
        <v>25</v>
      </c>
      <c r="H95" s="41">
        <v>45882</v>
      </c>
      <c r="I95" s="45" t="s">
        <v>129</v>
      </c>
    </row>
    <row r="96" spans="1:9" ht="18.75">
      <c r="A96" s="41">
        <v>45860</v>
      </c>
      <c r="B96" s="42" t="s">
        <v>10</v>
      </c>
      <c r="C96" s="42" t="s">
        <v>145</v>
      </c>
      <c r="D96" s="43">
        <v>6027</v>
      </c>
      <c r="E96" s="46">
        <v>6027</v>
      </c>
      <c r="F96" s="54">
        <f t="shared" si="1"/>
        <v>0</v>
      </c>
      <c r="G96" s="44" t="s">
        <v>25</v>
      </c>
      <c r="H96" s="41">
        <v>45882</v>
      </c>
      <c r="I96" s="45" t="s">
        <v>133</v>
      </c>
    </row>
    <row r="97" spans="1:9" ht="18.75">
      <c r="A97" s="41">
        <v>45857</v>
      </c>
      <c r="B97" s="42" t="s">
        <v>10</v>
      </c>
      <c r="C97" s="42" t="s">
        <v>146</v>
      </c>
      <c r="D97" s="43">
        <v>27223</v>
      </c>
      <c r="E97" s="46">
        <v>27223</v>
      </c>
      <c r="F97" s="54">
        <f t="shared" si="1"/>
        <v>0</v>
      </c>
      <c r="G97" s="44" t="s">
        <v>25</v>
      </c>
      <c r="H97" s="41">
        <v>45882</v>
      </c>
      <c r="I97" s="45" t="s">
        <v>133</v>
      </c>
    </row>
    <row r="98" spans="1:9" ht="18.75">
      <c r="A98" s="41">
        <v>45861</v>
      </c>
      <c r="B98" s="42" t="s">
        <v>51</v>
      </c>
      <c r="C98" s="42" t="s">
        <v>147</v>
      </c>
      <c r="D98" s="43">
        <v>5600</v>
      </c>
      <c r="E98" s="46">
        <v>5600</v>
      </c>
      <c r="F98" s="54">
        <f t="shared" si="1"/>
        <v>0</v>
      </c>
      <c r="G98" s="44" t="s">
        <v>25</v>
      </c>
      <c r="H98" s="41">
        <v>45882</v>
      </c>
      <c r="I98" s="45" t="s">
        <v>131</v>
      </c>
    </row>
    <row r="99" spans="1:9" ht="18.75">
      <c r="A99" s="41">
        <v>45862</v>
      </c>
      <c r="B99" s="42" t="s">
        <v>6</v>
      </c>
      <c r="C99" s="42" t="s">
        <v>148</v>
      </c>
      <c r="D99" s="43">
        <v>16722</v>
      </c>
      <c r="E99" s="46">
        <v>16722</v>
      </c>
      <c r="F99" s="54">
        <f t="shared" si="1"/>
        <v>0</v>
      </c>
      <c r="G99" s="44" t="s">
        <v>25</v>
      </c>
      <c r="H99" s="41">
        <v>45882</v>
      </c>
      <c r="I99" s="45" t="s">
        <v>149</v>
      </c>
    </row>
    <row r="100" spans="1:9" ht="18.75">
      <c r="A100" s="41">
        <v>45863</v>
      </c>
      <c r="B100" s="42" t="s">
        <v>11</v>
      </c>
      <c r="C100" s="42" t="s">
        <v>150</v>
      </c>
      <c r="D100" s="43">
        <v>8424</v>
      </c>
      <c r="E100" s="46">
        <v>8424</v>
      </c>
      <c r="F100" s="54">
        <f t="shared" si="1"/>
        <v>0</v>
      </c>
      <c r="G100" s="44" t="s">
        <v>25</v>
      </c>
      <c r="H100" s="41">
        <v>45882</v>
      </c>
      <c r="I100" s="45" t="s">
        <v>129</v>
      </c>
    </row>
    <row r="101" spans="1:9" ht="18.75">
      <c r="A101" s="41">
        <v>45863</v>
      </c>
      <c r="B101" s="42" t="s">
        <v>7</v>
      </c>
      <c r="C101" s="42" t="s">
        <v>151</v>
      </c>
      <c r="D101" s="43">
        <v>8195</v>
      </c>
      <c r="E101" s="46">
        <v>8195</v>
      </c>
      <c r="F101" s="54">
        <f t="shared" si="1"/>
        <v>0</v>
      </c>
      <c r="G101" s="44" t="s">
        <v>25</v>
      </c>
      <c r="H101" s="41">
        <v>45882</v>
      </c>
      <c r="I101" s="45" t="s">
        <v>138</v>
      </c>
    </row>
    <row r="102" spans="1:9" ht="18.75">
      <c r="A102" s="41">
        <v>45864</v>
      </c>
      <c r="B102" s="42" t="s">
        <v>10</v>
      </c>
      <c r="C102" s="42" t="s">
        <v>152</v>
      </c>
      <c r="D102" s="43">
        <v>15863</v>
      </c>
      <c r="E102" s="46">
        <v>15863</v>
      </c>
      <c r="F102" s="54">
        <f t="shared" si="1"/>
        <v>0</v>
      </c>
      <c r="G102" s="44" t="s">
        <v>25</v>
      </c>
      <c r="H102" s="41">
        <v>45882</v>
      </c>
      <c r="I102" s="45" t="s">
        <v>133</v>
      </c>
    </row>
    <row r="103" spans="1:9" ht="18.75">
      <c r="A103" s="41">
        <v>45875</v>
      </c>
      <c r="B103" s="42" t="s">
        <v>8</v>
      </c>
      <c r="C103" s="42">
        <v>1638</v>
      </c>
      <c r="D103" s="43">
        <v>1036</v>
      </c>
      <c r="E103" s="46">
        <v>1036</v>
      </c>
      <c r="F103" s="54">
        <f t="shared" si="1"/>
        <v>0</v>
      </c>
      <c r="G103" s="44" t="s">
        <v>153</v>
      </c>
      <c r="H103" s="41"/>
      <c r="I103" s="45"/>
    </row>
    <row r="104" spans="1:9" ht="18.75">
      <c r="A104" s="41">
        <v>45875</v>
      </c>
      <c r="B104" s="42" t="s">
        <v>11</v>
      </c>
      <c r="C104" s="42" t="s">
        <v>154</v>
      </c>
      <c r="D104" s="43">
        <v>7020</v>
      </c>
      <c r="E104" s="46">
        <v>7020</v>
      </c>
      <c r="F104" s="54">
        <f t="shared" si="1"/>
        <v>0</v>
      </c>
      <c r="G104" s="44" t="s">
        <v>25</v>
      </c>
      <c r="H104" s="41">
        <v>45907</v>
      </c>
      <c r="I104" s="45" t="s">
        <v>155</v>
      </c>
    </row>
    <row r="105" spans="1:9" ht="18.75">
      <c r="A105" s="41">
        <v>45875</v>
      </c>
      <c r="B105" s="42" t="s">
        <v>47</v>
      </c>
      <c r="C105" s="42" t="s">
        <v>156</v>
      </c>
      <c r="D105" s="43">
        <v>3817</v>
      </c>
      <c r="E105" s="46">
        <v>3817</v>
      </c>
      <c r="F105" s="54">
        <f t="shared" si="1"/>
        <v>0</v>
      </c>
      <c r="G105" s="44" t="s">
        <v>25</v>
      </c>
      <c r="H105" s="41">
        <v>45907</v>
      </c>
      <c r="I105" s="45" t="s">
        <v>157</v>
      </c>
    </row>
    <row r="106" spans="1:9" ht="18.75">
      <c r="A106" s="41">
        <v>45874</v>
      </c>
      <c r="B106" s="42" t="s">
        <v>10</v>
      </c>
      <c r="C106" s="42" t="s">
        <v>158</v>
      </c>
      <c r="D106" s="43">
        <v>17867</v>
      </c>
      <c r="E106" s="46">
        <v>17867</v>
      </c>
      <c r="F106" s="54">
        <f t="shared" si="1"/>
        <v>0</v>
      </c>
      <c r="G106" s="44" t="s">
        <v>25</v>
      </c>
      <c r="H106" s="41">
        <v>45907</v>
      </c>
      <c r="I106" s="45" t="s">
        <v>159</v>
      </c>
    </row>
    <row r="107" spans="1:9" ht="18.75">
      <c r="A107" s="41">
        <v>45881</v>
      </c>
      <c r="B107" s="42" t="s">
        <v>7</v>
      </c>
      <c r="C107" s="42" t="s">
        <v>160</v>
      </c>
      <c r="D107" s="43">
        <v>15580</v>
      </c>
      <c r="E107" s="46">
        <v>15580</v>
      </c>
      <c r="F107" s="54">
        <f t="shared" si="1"/>
        <v>0</v>
      </c>
      <c r="G107" s="44" t="s">
        <v>25</v>
      </c>
      <c r="H107" s="41">
        <v>46026</v>
      </c>
      <c r="I107" s="45" t="s">
        <v>161</v>
      </c>
    </row>
    <row r="108" spans="1:9" ht="18.75">
      <c r="A108" s="41">
        <v>45882</v>
      </c>
      <c r="B108" s="42" t="s">
        <v>10</v>
      </c>
      <c r="C108" s="42" t="s">
        <v>162</v>
      </c>
      <c r="D108" s="43">
        <v>15539</v>
      </c>
      <c r="E108" s="46">
        <v>15539</v>
      </c>
      <c r="F108" s="54">
        <f t="shared" si="1"/>
        <v>0</v>
      </c>
      <c r="G108" s="44" t="s">
        <v>25</v>
      </c>
      <c r="H108" s="41">
        <v>45907</v>
      </c>
      <c r="I108" s="45" t="s">
        <v>159</v>
      </c>
    </row>
    <row r="109" spans="1:9" ht="18.75">
      <c r="A109" s="41">
        <v>45885</v>
      </c>
      <c r="B109" s="42" t="s">
        <v>11</v>
      </c>
      <c r="C109" s="42" t="s">
        <v>163</v>
      </c>
      <c r="D109" s="43">
        <v>7020</v>
      </c>
      <c r="E109" s="46">
        <v>7020</v>
      </c>
      <c r="F109" s="54">
        <f t="shared" si="1"/>
        <v>0</v>
      </c>
      <c r="G109" s="44" t="s">
        <v>25</v>
      </c>
      <c r="H109" s="41">
        <v>45907</v>
      </c>
      <c r="I109" s="45" t="s">
        <v>155</v>
      </c>
    </row>
    <row r="110" spans="1:9" ht="18.75">
      <c r="A110" s="41">
        <v>45887</v>
      </c>
      <c r="B110" s="42" t="s">
        <v>12</v>
      </c>
      <c r="C110" s="42">
        <v>68</v>
      </c>
      <c r="D110" s="43">
        <v>910</v>
      </c>
      <c r="E110" s="46">
        <v>910</v>
      </c>
      <c r="F110" s="54">
        <f t="shared" ref="F110:F173" si="2">F109+D110-E110</f>
        <v>0</v>
      </c>
      <c r="G110" s="44" t="s">
        <v>25</v>
      </c>
      <c r="H110" s="41">
        <v>45907</v>
      </c>
      <c r="I110" s="45" t="s">
        <v>164</v>
      </c>
    </row>
    <row r="111" spans="1:9" ht="18.75">
      <c r="A111" s="41">
        <v>45887</v>
      </c>
      <c r="B111" s="42" t="s">
        <v>12</v>
      </c>
      <c r="C111" s="42">
        <v>69</v>
      </c>
      <c r="D111" s="43">
        <v>1520</v>
      </c>
      <c r="E111" s="46">
        <v>1520</v>
      </c>
      <c r="F111" s="54">
        <f t="shared" si="2"/>
        <v>0</v>
      </c>
      <c r="G111" s="44" t="s">
        <v>25</v>
      </c>
      <c r="H111" s="41">
        <v>45907</v>
      </c>
      <c r="I111" s="45" t="s">
        <v>164</v>
      </c>
    </row>
    <row r="112" spans="1:9" ht="18.75">
      <c r="A112" s="41">
        <v>45888</v>
      </c>
      <c r="B112" s="42" t="s">
        <v>12</v>
      </c>
      <c r="C112" s="42">
        <v>70</v>
      </c>
      <c r="D112" s="43">
        <v>1170</v>
      </c>
      <c r="E112" s="46">
        <v>1170</v>
      </c>
      <c r="F112" s="54">
        <f t="shared" si="2"/>
        <v>0</v>
      </c>
      <c r="G112" s="44" t="s">
        <v>25</v>
      </c>
      <c r="H112" s="41">
        <v>45907</v>
      </c>
      <c r="I112" s="45" t="s">
        <v>164</v>
      </c>
    </row>
    <row r="113" spans="1:9" ht="18.75">
      <c r="A113" s="41">
        <v>45889</v>
      </c>
      <c r="B113" s="42" t="s">
        <v>6</v>
      </c>
      <c r="C113" s="42" t="s">
        <v>165</v>
      </c>
      <c r="D113" s="43">
        <v>12525</v>
      </c>
      <c r="E113" s="46">
        <v>12525</v>
      </c>
      <c r="F113" s="54">
        <f t="shared" si="2"/>
        <v>0</v>
      </c>
      <c r="G113" s="44" t="s">
        <v>25</v>
      </c>
      <c r="H113" s="41">
        <v>45907</v>
      </c>
      <c r="I113" s="45" t="s">
        <v>166</v>
      </c>
    </row>
    <row r="114" spans="1:9" ht="18.75">
      <c r="A114" s="41">
        <v>45889</v>
      </c>
      <c r="B114" s="42" t="s">
        <v>11</v>
      </c>
      <c r="C114" s="42" t="s">
        <v>167</v>
      </c>
      <c r="D114" s="43">
        <v>8424</v>
      </c>
      <c r="E114" s="46">
        <v>8424</v>
      </c>
      <c r="F114" s="54">
        <f t="shared" si="2"/>
        <v>0</v>
      </c>
      <c r="G114" s="44" t="s">
        <v>25</v>
      </c>
      <c r="H114" s="41">
        <v>45907</v>
      </c>
      <c r="I114" s="45" t="s">
        <v>155</v>
      </c>
    </row>
    <row r="115" spans="1:9" ht="18.75">
      <c r="A115" s="41">
        <v>45890</v>
      </c>
      <c r="B115" s="42" t="s">
        <v>7</v>
      </c>
      <c r="C115" s="42" t="s">
        <v>168</v>
      </c>
      <c r="D115" s="43">
        <v>2970</v>
      </c>
      <c r="E115" s="46">
        <v>2970</v>
      </c>
      <c r="F115" s="54">
        <f t="shared" si="2"/>
        <v>0</v>
      </c>
      <c r="G115" s="44" t="s">
        <v>25</v>
      </c>
      <c r="H115" s="41">
        <v>46026</v>
      </c>
      <c r="I115" s="45" t="s">
        <v>161</v>
      </c>
    </row>
    <row r="116" spans="1:9" ht="18.75">
      <c r="A116" s="41">
        <v>45891</v>
      </c>
      <c r="B116" s="42" t="s">
        <v>91</v>
      </c>
      <c r="C116" s="42">
        <v>780</v>
      </c>
      <c r="D116" s="43">
        <v>12761</v>
      </c>
      <c r="E116" s="46">
        <v>12761</v>
      </c>
      <c r="F116" s="54">
        <f t="shared" si="2"/>
        <v>0</v>
      </c>
      <c r="G116" s="44" t="s">
        <v>25</v>
      </c>
      <c r="H116" s="41">
        <v>45907</v>
      </c>
      <c r="I116" s="45" t="s">
        <v>169</v>
      </c>
    </row>
    <row r="117" spans="1:9" ht="18.75">
      <c r="A117" s="41">
        <v>45894</v>
      </c>
      <c r="B117" s="42" t="s">
        <v>7</v>
      </c>
      <c r="C117" s="42" t="s">
        <v>170</v>
      </c>
      <c r="D117" s="43">
        <v>1485</v>
      </c>
      <c r="E117" s="46">
        <v>1485</v>
      </c>
      <c r="F117" s="54">
        <f t="shared" si="2"/>
        <v>0</v>
      </c>
      <c r="G117" s="44" t="s">
        <v>25</v>
      </c>
      <c r="H117" s="41">
        <v>46026</v>
      </c>
      <c r="I117" s="45" t="s">
        <v>161</v>
      </c>
    </row>
    <row r="118" spans="1:9" ht="18.75">
      <c r="A118" s="41">
        <v>45892</v>
      </c>
      <c r="B118" s="42" t="s">
        <v>3</v>
      </c>
      <c r="C118" s="42" t="s">
        <v>171</v>
      </c>
      <c r="D118" s="43">
        <v>6560</v>
      </c>
      <c r="E118" s="46">
        <v>6560</v>
      </c>
      <c r="F118" s="54">
        <f t="shared" si="2"/>
        <v>0</v>
      </c>
      <c r="G118" s="44" t="s">
        <v>25</v>
      </c>
      <c r="H118" s="41">
        <v>45907</v>
      </c>
      <c r="I118" s="45" t="s">
        <v>172</v>
      </c>
    </row>
    <row r="119" spans="1:9" ht="18.75">
      <c r="A119" s="41">
        <v>45895</v>
      </c>
      <c r="B119" s="42" t="s">
        <v>7</v>
      </c>
      <c r="C119" s="42" t="s">
        <v>173</v>
      </c>
      <c r="D119" s="43">
        <v>21571</v>
      </c>
      <c r="E119" s="46">
        <v>21571</v>
      </c>
      <c r="F119" s="54">
        <f t="shared" si="2"/>
        <v>0</v>
      </c>
      <c r="G119" s="44" t="s">
        <v>25</v>
      </c>
      <c r="H119" s="41">
        <v>46026</v>
      </c>
      <c r="I119" s="45" t="s">
        <v>161</v>
      </c>
    </row>
    <row r="120" spans="1:9" ht="18.75">
      <c r="A120" s="41">
        <v>45895</v>
      </c>
      <c r="B120" s="42" t="s">
        <v>7</v>
      </c>
      <c r="C120" s="42" t="s">
        <v>174</v>
      </c>
      <c r="D120" s="43">
        <v>17180</v>
      </c>
      <c r="E120" s="46">
        <v>17180</v>
      </c>
      <c r="F120" s="54">
        <f t="shared" si="2"/>
        <v>0</v>
      </c>
      <c r="G120" s="44" t="s">
        <v>25</v>
      </c>
      <c r="H120" s="41">
        <v>46026</v>
      </c>
      <c r="I120" s="45" t="s">
        <v>161</v>
      </c>
    </row>
    <row r="121" spans="1:9" ht="18.75">
      <c r="A121" s="41">
        <v>45896</v>
      </c>
      <c r="B121" s="42" t="s">
        <v>91</v>
      </c>
      <c r="C121" s="42">
        <v>805</v>
      </c>
      <c r="D121" s="43">
        <v>6720</v>
      </c>
      <c r="E121" s="46">
        <v>6720</v>
      </c>
      <c r="F121" s="54">
        <f t="shared" si="2"/>
        <v>0</v>
      </c>
      <c r="G121" s="44" t="s">
        <v>25</v>
      </c>
      <c r="H121" s="41">
        <v>45907</v>
      </c>
      <c r="I121" s="45" t="s">
        <v>169</v>
      </c>
    </row>
    <row r="122" spans="1:9" ht="18.75">
      <c r="A122" s="41">
        <v>45899</v>
      </c>
      <c r="B122" s="42" t="s">
        <v>10</v>
      </c>
      <c r="C122" s="42">
        <v>8408</v>
      </c>
      <c r="D122" s="43">
        <v>9409</v>
      </c>
      <c r="E122" s="46">
        <v>9409</v>
      </c>
      <c r="F122" s="54">
        <f t="shared" si="2"/>
        <v>0</v>
      </c>
      <c r="G122" s="44" t="s">
        <v>25</v>
      </c>
      <c r="H122" s="41">
        <v>45907</v>
      </c>
      <c r="I122" s="45" t="s">
        <v>159</v>
      </c>
    </row>
    <row r="123" spans="1:9" ht="18.75">
      <c r="A123" s="41">
        <v>45899</v>
      </c>
      <c r="B123" s="42" t="s">
        <v>10</v>
      </c>
      <c r="C123" s="42">
        <v>8395</v>
      </c>
      <c r="D123" s="43">
        <v>34774</v>
      </c>
      <c r="E123" s="46">
        <v>34774</v>
      </c>
      <c r="F123" s="54">
        <f t="shared" si="2"/>
        <v>0</v>
      </c>
      <c r="G123" s="44" t="s">
        <v>25</v>
      </c>
      <c r="H123" s="41">
        <v>45907</v>
      </c>
      <c r="I123" s="45" t="s">
        <v>159</v>
      </c>
    </row>
    <row r="124" spans="1:9" ht="18.75">
      <c r="A124" s="41">
        <v>45899</v>
      </c>
      <c r="B124" s="42" t="s">
        <v>9</v>
      </c>
      <c r="C124" s="42" t="s">
        <v>175</v>
      </c>
      <c r="D124" s="43">
        <v>23520</v>
      </c>
      <c r="E124" s="46">
        <v>23520</v>
      </c>
      <c r="F124" s="54">
        <f t="shared" si="2"/>
        <v>0</v>
      </c>
      <c r="G124" s="44" t="s">
        <v>25</v>
      </c>
      <c r="H124" s="41">
        <v>45907</v>
      </c>
      <c r="I124" s="45" t="s">
        <v>176</v>
      </c>
    </row>
    <row r="125" spans="1:9" ht="18.75">
      <c r="A125" s="41">
        <v>45902</v>
      </c>
      <c r="B125" s="42" t="s">
        <v>47</v>
      </c>
      <c r="C125" s="42" t="s">
        <v>177</v>
      </c>
      <c r="D125" s="43">
        <v>712</v>
      </c>
      <c r="E125" s="46">
        <v>712</v>
      </c>
      <c r="F125" s="54">
        <f t="shared" si="2"/>
        <v>0</v>
      </c>
      <c r="G125" s="44" t="s">
        <v>25</v>
      </c>
      <c r="H125" s="41">
        <v>45938</v>
      </c>
      <c r="I125" s="45" t="s">
        <v>178</v>
      </c>
    </row>
    <row r="126" spans="1:9" ht="18.75">
      <c r="A126" s="41">
        <v>45903</v>
      </c>
      <c r="B126" s="42" t="s">
        <v>12</v>
      </c>
      <c r="C126" s="42">
        <v>76</v>
      </c>
      <c r="D126" s="43">
        <v>910</v>
      </c>
      <c r="E126" s="46">
        <v>910</v>
      </c>
      <c r="F126" s="54">
        <f t="shared" si="2"/>
        <v>0</v>
      </c>
      <c r="G126" s="44" t="s">
        <v>25</v>
      </c>
      <c r="H126" s="41">
        <v>45938</v>
      </c>
      <c r="I126" s="45" t="s">
        <v>179</v>
      </c>
    </row>
    <row r="127" spans="1:9" ht="18.75">
      <c r="A127" s="56">
        <v>45903</v>
      </c>
      <c r="B127" s="57" t="s">
        <v>11</v>
      </c>
      <c r="C127" s="57" t="s">
        <v>180</v>
      </c>
      <c r="D127" s="43">
        <v>7020</v>
      </c>
      <c r="E127" s="58">
        <v>7020</v>
      </c>
      <c r="F127" s="54">
        <f t="shared" si="2"/>
        <v>0</v>
      </c>
      <c r="G127" s="44" t="s">
        <v>25</v>
      </c>
      <c r="H127" s="41">
        <v>45938</v>
      </c>
      <c r="I127" s="60" t="s">
        <v>181</v>
      </c>
    </row>
    <row r="128" spans="1:9" ht="18.75">
      <c r="A128" s="41">
        <v>45902</v>
      </c>
      <c r="B128" s="42" t="s">
        <v>51</v>
      </c>
      <c r="C128" s="42" t="s">
        <v>182</v>
      </c>
      <c r="D128" s="43">
        <v>1650</v>
      </c>
      <c r="E128" s="46">
        <v>1650</v>
      </c>
      <c r="F128" s="54">
        <f t="shared" si="2"/>
        <v>0</v>
      </c>
      <c r="G128" s="44" t="s">
        <v>25</v>
      </c>
      <c r="H128" s="59">
        <v>45938</v>
      </c>
      <c r="I128" s="45" t="s">
        <v>183</v>
      </c>
    </row>
    <row r="129" spans="1:9" ht="18.75">
      <c r="A129" s="41">
        <v>45906</v>
      </c>
      <c r="B129" s="42" t="s">
        <v>11</v>
      </c>
      <c r="C129" s="42" t="s">
        <v>184</v>
      </c>
      <c r="D129" s="43">
        <v>9336</v>
      </c>
      <c r="E129" s="46">
        <v>9336</v>
      </c>
      <c r="F129" s="54">
        <f t="shared" si="2"/>
        <v>0</v>
      </c>
      <c r="G129" s="44" t="s">
        <v>25</v>
      </c>
      <c r="H129" s="59">
        <v>45938</v>
      </c>
      <c r="I129" s="60" t="s">
        <v>181</v>
      </c>
    </row>
    <row r="130" spans="1:9" ht="18.75">
      <c r="A130" s="41">
        <v>45905</v>
      </c>
      <c r="B130" s="42" t="s">
        <v>3</v>
      </c>
      <c r="C130" s="42" t="s">
        <v>185</v>
      </c>
      <c r="D130" s="43">
        <v>6449</v>
      </c>
      <c r="E130" s="46">
        <v>6449</v>
      </c>
      <c r="F130" s="54">
        <f t="shared" si="2"/>
        <v>0</v>
      </c>
      <c r="G130" s="44" t="s">
        <v>25</v>
      </c>
      <c r="H130" s="59">
        <v>45938</v>
      </c>
      <c r="I130" s="45" t="s">
        <v>186</v>
      </c>
    </row>
    <row r="131" spans="1:9" ht="18.75">
      <c r="A131" s="41">
        <v>45910</v>
      </c>
      <c r="B131" s="42" t="s">
        <v>11</v>
      </c>
      <c r="C131" s="42" t="s">
        <v>187</v>
      </c>
      <c r="D131" s="43">
        <v>7020</v>
      </c>
      <c r="E131" s="46">
        <v>7020</v>
      </c>
      <c r="F131" s="54">
        <f t="shared" si="2"/>
        <v>0</v>
      </c>
      <c r="G131" s="44" t="s">
        <v>25</v>
      </c>
      <c r="H131" s="59">
        <v>45938</v>
      </c>
      <c r="I131" s="60" t="s">
        <v>181</v>
      </c>
    </row>
    <row r="132" spans="1:9" ht="18.75">
      <c r="A132" s="41">
        <v>45909</v>
      </c>
      <c r="B132" s="42" t="s">
        <v>3</v>
      </c>
      <c r="C132" s="42" t="s">
        <v>188</v>
      </c>
      <c r="D132" s="43">
        <v>1800</v>
      </c>
      <c r="E132" s="46">
        <v>1800</v>
      </c>
      <c r="F132" s="54">
        <f t="shared" si="2"/>
        <v>0</v>
      </c>
      <c r="G132" s="44" t="s">
        <v>25</v>
      </c>
      <c r="H132" s="59">
        <v>45938</v>
      </c>
      <c r="I132" s="45" t="s">
        <v>186</v>
      </c>
    </row>
    <row r="133" spans="1:9" ht="18.75">
      <c r="A133" s="41">
        <v>45910</v>
      </c>
      <c r="B133" s="42" t="s">
        <v>33</v>
      </c>
      <c r="C133" s="42">
        <v>3003</v>
      </c>
      <c r="D133" s="43">
        <v>4447</v>
      </c>
      <c r="E133" s="46">
        <v>4447</v>
      </c>
      <c r="F133" s="54">
        <f t="shared" si="2"/>
        <v>0</v>
      </c>
      <c r="G133" s="44" t="s">
        <v>25</v>
      </c>
      <c r="H133" s="59">
        <v>45938</v>
      </c>
      <c r="I133" s="45" t="s">
        <v>189</v>
      </c>
    </row>
    <row r="134" spans="1:9" ht="18.75">
      <c r="A134" s="41">
        <v>45910</v>
      </c>
      <c r="B134" s="42" t="s">
        <v>47</v>
      </c>
      <c r="C134" s="42" t="s">
        <v>190</v>
      </c>
      <c r="D134" s="43">
        <v>348</v>
      </c>
      <c r="E134" s="46">
        <v>348</v>
      </c>
      <c r="F134" s="54">
        <f t="shared" si="2"/>
        <v>0</v>
      </c>
      <c r="G134" s="44" t="s">
        <v>25</v>
      </c>
      <c r="H134" s="59">
        <v>45938</v>
      </c>
      <c r="I134" s="45" t="s">
        <v>178</v>
      </c>
    </row>
    <row r="135" spans="1:9" ht="18.75">
      <c r="A135" s="41">
        <v>45912</v>
      </c>
      <c r="B135" s="42" t="s">
        <v>8</v>
      </c>
      <c r="C135" s="42">
        <v>2133</v>
      </c>
      <c r="D135" s="43">
        <v>1520</v>
      </c>
      <c r="E135" s="46">
        <v>1520</v>
      </c>
      <c r="F135" s="54">
        <f t="shared" si="2"/>
        <v>0</v>
      </c>
      <c r="G135" s="44" t="s">
        <v>25</v>
      </c>
      <c r="H135" s="59">
        <v>45938</v>
      </c>
      <c r="I135" s="45" t="s">
        <v>191</v>
      </c>
    </row>
    <row r="136" spans="1:9" ht="18.75">
      <c r="A136" s="41">
        <v>45912</v>
      </c>
      <c r="B136" s="42" t="s">
        <v>11</v>
      </c>
      <c r="C136" s="42" t="s">
        <v>192</v>
      </c>
      <c r="D136" s="43">
        <v>21784</v>
      </c>
      <c r="E136" s="46">
        <v>21784</v>
      </c>
      <c r="F136" s="54">
        <f t="shared" si="2"/>
        <v>0</v>
      </c>
      <c r="G136" s="44" t="s">
        <v>25</v>
      </c>
      <c r="H136" s="59">
        <v>45938</v>
      </c>
      <c r="I136" s="60" t="s">
        <v>181</v>
      </c>
    </row>
    <row r="137" spans="1:9" ht="18.75">
      <c r="A137" s="41">
        <v>45917</v>
      </c>
      <c r="B137" s="42" t="s">
        <v>11</v>
      </c>
      <c r="C137" s="42" t="s">
        <v>193</v>
      </c>
      <c r="D137" s="43">
        <v>8424</v>
      </c>
      <c r="E137" s="46">
        <v>8424</v>
      </c>
      <c r="F137" s="54">
        <f t="shared" si="2"/>
        <v>0</v>
      </c>
      <c r="G137" s="44" t="s">
        <v>25</v>
      </c>
      <c r="H137" s="59">
        <v>45938</v>
      </c>
      <c r="I137" s="60" t="s">
        <v>181</v>
      </c>
    </row>
    <row r="138" spans="1:9" ht="18.75">
      <c r="A138" s="41">
        <v>45919</v>
      </c>
      <c r="B138" s="42" t="s">
        <v>47</v>
      </c>
      <c r="C138" s="42" t="s">
        <v>194</v>
      </c>
      <c r="D138" s="43">
        <v>7245</v>
      </c>
      <c r="E138" s="46">
        <v>7245</v>
      </c>
      <c r="F138" s="54">
        <f t="shared" si="2"/>
        <v>0</v>
      </c>
      <c r="G138" s="44" t="s">
        <v>25</v>
      </c>
      <c r="H138" s="59">
        <v>45938</v>
      </c>
      <c r="I138" s="45" t="s">
        <v>178</v>
      </c>
    </row>
    <row r="139" spans="1:9" ht="18.75">
      <c r="A139" s="41">
        <v>45920</v>
      </c>
      <c r="B139" s="42" t="s">
        <v>7</v>
      </c>
      <c r="C139" s="42" t="s">
        <v>195</v>
      </c>
      <c r="D139" s="43">
        <v>6283</v>
      </c>
      <c r="E139" s="46">
        <v>6283</v>
      </c>
      <c r="F139" s="54">
        <f t="shared" si="2"/>
        <v>0</v>
      </c>
      <c r="G139" s="44" t="s">
        <v>25</v>
      </c>
      <c r="H139" s="59">
        <v>45938</v>
      </c>
      <c r="I139" s="45" t="s">
        <v>196</v>
      </c>
    </row>
    <row r="140" spans="1:9" ht="18.75">
      <c r="A140" s="41">
        <v>45920</v>
      </c>
      <c r="B140" s="42" t="s">
        <v>12</v>
      </c>
      <c r="C140" s="42">
        <v>81</v>
      </c>
      <c r="D140" s="43">
        <v>925</v>
      </c>
      <c r="E140" s="46">
        <v>925</v>
      </c>
      <c r="F140" s="54">
        <f t="shared" si="2"/>
        <v>0</v>
      </c>
      <c r="G140" s="44" t="s">
        <v>25</v>
      </c>
      <c r="H140" s="59">
        <v>45938</v>
      </c>
      <c r="I140" s="45" t="s">
        <v>179</v>
      </c>
    </row>
    <row r="141" spans="1:9" ht="18.75">
      <c r="A141" s="41">
        <v>45920</v>
      </c>
      <c r="B141" s="42" t="s">
        <v>10</v>
      </c>
      <c r="C141" s="42" t="s">
        <v>197</v>
      </c>
      <c r="D141" s="43">
        <v>46896</v>
      </c>
      <c r="E141" s="46">
        <v>46896</v>
      </c>
      <c r="F141" s="54">
        <f t="shared" si="2"/>
        <v>0</v>
      </c>
      <c r="G141" s="44" t="s">
        <v>25</v>
      </c>
      <c r="H141" s="59">
        <v>45938</v>
      </c>
      <c r="I141" s="45" t="s">
        <v>198</v>
      </c>
    </row>
    <row r="142" spans="1:9" ht="18.75">
      <c r="A142" s="41">
        <v>45920</v>
      </c>
      <c r="B142" s="42" t="s">
        <v>10</v>
      </c>
      <c r="C142" s="42" t="s">
        <v>199</v>
      </c>
      <c r="D142" s="43">
        <v>57315</v>
      </c>
      <c r="E142" s="46">
        <v>57315</v>
      </c>
      <c r="F142" s="54">
        <f t="shared" si="2"/>
        <v>0</v>
      </c>
      <c r="G142" s="44" t="s">
        <v>25</v>
      </c>
      <c r="H142" s="59">
        <v>45938</v>
      </c>
      <c r="I142" s="45" t="s">
        <v>198</v>
      </c>
    </row>
    <row r="143" spans="1:9" ht="18.75">
      <c r="A143" s="41">
        <v>45922</v>
      </c>
      <c r="B143" s="42" t="s">
        <v>8</v>
      </c>
      <c r="C143" s="42">
        <v>2257</v>
      </c>
      <c r="D143" s="43">
        <v>2325</v>
      </c>
      <c r="E143" s="46">
        <v>2325</v>
      </c>
      <c r="F143" s="54">
        <f t="shared" si="2"/>
        <v>0</v>
      </c>
      <c r="G143" s="44" t="s">
        <v>25</v>
      </c>
      <c r="H143" s="59">
        <v>45938</v>
      </c>
      <c r="I143" s="45" t="s">
        <v>191</v>
      </c>
    </row>
    <row r="144" spans="1:9" ht="18.75">
      <c r="A144" s="41">
        <v>45922</v>
      </c>
      <c r="B144" s="42" t="s">
        <v>4</v>
      </c>
      <c r="C144" s="42" t="s">
        <v>200</v>
      </c>
      <c r="D144" s="43">
        <v>2473</v>
      </c>
      <c r="E144" s="46">
        <v>2473</v>
      </c>
      <c r="F144" s="54">
        <f t="shared" si="2"/>
        <v>0</v>
      </c>
      <c r="G144" s="44" t="s">
        <v>25</v>
      </c>
      <c r="H144" s="59">
        <v>45938</v>
      </c>
      <c r="I144" s="45" t="s">
        <v>201</v>
      </c>
    </row>
    <row r="145" spans="1:9" ht="18.75">
      <c r="A145" s="41">
        <v>45923</v>
      </c>
      <c r="B145" s="42" t="s">
        <v>8</v>
      </c>
      <c r="C145" s="42">
        <v>2285</v>
      </c>
      <c r="D145" s="43">
        <v>641</v>
      </c>
      <c r="E145" s="46">
        <v>641</v>
      </c>
      <c r="F145" s="54">
        <f t="shared" si="2"/>
        <v>0</v>
      </c>
      <c r="G145" s="44" t="s">
        <v>25</v>
      </c>
      <c r="H145" s="59">
        <v>45938</v>
      </c>
      <c r="I145" s="45" t="s">
        <v>191</v>
      </c>
    </row>
    <row r="146" spans="1:9" ht="18.75">
      <c r="A146" s="41">
        <v>45925</v>
      </c>
      <c r="B146" s="42" t="s">
        <v>10</v>
      </c>
      <c r="C146" s="42" t="s">
        <v>202</v>
      </c>
      <c r="D146" s="43">
        <v>6455</v>
      </c>
      <c r="E146" s="46">
        <v>6455</v>
      </c>
      <c r="F146" s="54">
        <f t="shared" si="2"/>
        <v>0</v>
      </c>
      <c r="G146" s="44" t="s">
        <v>25</v>
      </c>
      <c r="H146" s="59">
        <v>45938</v>
      </c>
      <c r="I146" s="45" t="s">
        <v>198</v>
      </c>
    </row>
    <row r="147" spans="1:9" ht="18.75">
      <c r="A147" s="41">
        <v>45925</v>
      </c>
      <c r="B147" s="42" t="s">
        <v>203</v>
      </c>
      <c r="C147" s="42">
        <v>148</v>
      </c>
      <c r="D147" s="43">
        <v>12500</v>
      </c>
      <c r="E147" s="46">
        <v>12500</v>
      </c>
      <c r="F147" s="54">
        <f t="shared" si="2"/>
        <v>0</v>
      </c>
      <c r="G147" s="44" t="s">
        <v>153</v>
      </c>
      <c r="H147" s="59">
        <v>45945</v>
      </c>
      <c r="I147" s="45" t="s">
        <v>153</v>
      </c>
    </row>
    <row r="148" spans="1:9" ht="18.75">
      <c r="A148" s="41">
        <v>45925</v>
      </c>
      <c r="B148" s="42" t="s">
        <v>9</v>
      </c>
      <c r="C148" s="42" t="s">
        <v>204</v>
      </c>
      <c r="D148" s="43">
        <v>22050</v>
      </c>
      <c r="E148" s="46">
        <v>22050</v>
      </c>
      <c r="F148" s="54">
        <f t="shared" si="2"/>
        <v>0</v>
      </c>
      <c r="G148" s="44" t="s">
        <v>25</v>
      </c>
      <c r="H148" s="59">
        <v>45938</v>
      </c>
      <c r="I148" s="45" t="s">
        <v>205</v>
      </c>
    </row>
    <row r="149" spans="1:9" ht="18.75">
      <c r="A149" s="41">
        <v>45927</v>
      </c>
      <c r="B149" s="42" t="s">
        <v>91</v>
      </c>
      <c r="C149" s="42">
        <v>1043</v>
      </c>
      <c r="D149" s="43">
        <v>20733</v>
      </c>
      <c r="E149" s="46">
        <v>20733</v>
      </c>
      <c r="F149" s="54">
        <f t="shared" si="2"/>
        <v>0</v>
      </c>
      <c r="G149" s="44" t="s">
        <v>25</v>
      </c>
      <c r="H149" s="59">
        <v>45938</v>
      </c>
      <c r="I149" s="45" t="s">
        <v>206</v>
      </c>
    </row>
    <row r="150" spans="1:9" ht="18.75">
      <c r="A150" s="41">
        <v>45930</v>
      </c>
      <c r="B150" s="42" t="s">
        <v>12</v>
      </c>
      <c r="C150" s="42">
        <v>85</v>
      </c>
      <c r="D150" s="43">
        <v>910</v>
      </c>
      <c r="E150" s="46">
        <v>910</v>
      </c>
      <c r="F150" s="54">
        <f t="shared" si="2"/>
        <v>0</v>
      </c>
      <c r="G150" s="44" t="s">
        <v>25</v>
      </c>
      <c r="H150" s="59">
        <v>45938</v>
      </c>
      <c r="I150" s="45" t="s">
        <v>179</v>
      </c>
    </row>
    <row r="151" spans="1:9" ht="18.75">
      <c r="A151" s="41">
        <v>45930</v>
      </c>
      <c r="B151" s="42" t="s">
        <v>11</v>
      </c>
      <c r="C151" s="42" t="s">
        <v>207</v>
      </c>
      <c r="D151" s="43">
        <v>7898</v>
      </c>
      <c r="E151" s="46">
        <v>7898</v>
      </c>
      <c r="F151" s="54">
        <f t="shared" si="2"/>
        <v>0</v>
      </c>
      <c r="G151" s="44" t="s">
        <v>25</v>
      </c>
      <c r="H151" s="59">
        <v>45938</v>
      </c>
      <c r="I151" s="60" t="s">
        <v>181</v>
      </c>
    </row>
    <row r="152" spans="1:9" ht="18.75">
      <c r="A152" s="41">
        <v>45930</v>
      </c>
      <c r="B152" s="42" t="s">
        <v>10</v>
      </c>
      <c r="C152" s="42" t="s">
        <v>208</v>
      </c>
      <c r="D152" s="43">
        <v>38277</v>
      </c>
      <c r="E152" s="46">
        <v>38277</v>
      </c>
      <c r="F152" s="54">
        <f t="shared" si="2"/>
        <v>0</v>
      </c>
      <c r="G152" s="44" t="s">
        <v>25</v>
      </c>
      <c r="H152" s="59">
        <v>45938</v>
      </c>
      <c r="I152" s="45" t="s">
        <v>198</v>
      </c>
    </row>
    <row r="153" spans="1:9" ht="18.75">
      <c r="A153" s="41">
        <v>45930</v>
      </c>
      <c r="B153" s="42" t="s">
        <v>6</v>
      </c>
      <c r="C153" s="42" t="s">
        <v>209</v>
      </c>
      <c r="D153" s="43">
        <v>11745</v>
      </c>
      <c r="E153" s="46">
        <v>11745</v>
      </c>
      <c r="F153" s="54">
        <f t="shared" si="2"/>
        <v>0</v>
      </c>
      <c r="G153" s="44" t="s">
        <v>25</v>
      </c>
      <c r="H153" s="59">
        <v>45938</v>
      </c>
      <c r="I153" s="45" t="s">
        <v>210</v>
      </c>
    </row>
    <row r="154" spans="1:9" ht="18.75">
      <c r="A154" s="41">
        <v>45931</v>
      </c>
      <c r="B154" s="42" t="s">
        <v>10</v>
      </c>
      <c r="C154" s="42" t="s">
        <v>211</v>
      </c>
      <c r="D154" s="43">
        <v>15222</v>
      </c>
      <c r="E154" s="43">
        <v>15222</v>
      </c>
      <c r="F154" s="54">
        <f t="shared" si="2"/>
        <v>0</v>
      </c>
      <c r="G154" s="44" t="s">
        <v>25</v>
      </c>
      <c r="H154" s="59">
        <v>45972</v>
      </c>
      <c r="I154" s="45" t="s">
        <v>212</v>
      </c>
    </row>
    <row r="155" spans="1:9" ht="18.75">
      <c r="A155" s="41">
        <v>45932</v>
      </c>
      <c r="B155" s="42" t="s">
        <v>7</v>
      </c>
      <c r="C155" s="42" t="s">
        <v>213</v>
      </c>
      <c r="D155" s="43">
        <v>5972</v>
      </c>
      <c r="E155" s="43">
        <v>5972</v>
      </c>
      <c r="F155" s="54">
        <f t="shared" si="2"/>
        <v>0</v>
      </c>
      <c r="G155" s="44" t="s">
        <v>25</v>
      </c>
      <c r="H155" s="59">
        <v>45972</v>
      </c>
      <c r="I155" s="45" t="s">
        <v>214</v>
      </c>
    </row>
    <row r="156" spans="1:9" ht="18.75">
      <c r="A156" s="41">
        <v>45932</v>
      </c>
      <c r="B156" s="42" t="s">
        <v>9</v>
      </c>
      <c r="C156" s="42" t="s">
        <v>215</v>
      </c>
      <c r="D156" s="43">
        <v>3245</v>
      </c>
      <c r="E156" s="43">
        <v>3245</v>
      </c>
      <c r="F156" s="54">
        <f t="shared" si="2"/>
        <v>0</v>
      </c>
      <c r="G156" s="44" t="s">
        <v>25</v>
      </c>
      <c r="H156" s="59">
        <v>45972</v>
      </c>
      <c r="I156" s="45" t="s">
        <v>216</v>
      </c>
    </row>
    <row r="157" spans="1:9" ht="18.75">
      <c r="A157" s="41">
        <v>45934</v>
      </c>
      <c r="B157" s="42" t="s">
        <v>8</v>
      </c>
      <c r="C157" s="42">
        <v>2394</v>
      </c>
      <c r="D157" s="43">
        <v>2730</v>
      </c>
      <c r="E157" s="43">
        <v>2730</v>
      </c>
      <c r="F157" s="54">
        <f t="shared" si="2"/>
        <v>0</v>
      </c>
      <c r="G157" s="44" t="s">
        <v>153</v>
      </c>
      <c r="H157" s="59">
        <v>46001</v>
      </c>
      <c r="I157" s="45"/>
    </row>
    <row r="158" spans="1:9" ht="18.75">
      <c r="A158" s="41">
        <v>45937</v>
      </c>
      <c r="B158" s="42" t="s">
        <v>11</v>
      </c>
      <c r="C158" s="42" t="s">
        <v>217</v>
      </c>
      <c r="D158" s="43">
        <v>7898</v>
      </c>
      <c r="E158" s="43">
        <v>7898</v>
      </c>
      <c r="F158" s="54">
        <f t="shared" si="2"/>
        <v>0</v>
      </c>
      <c r="G158" s="44" t="s">
        <v>25</v>
      </c>
      <c r="H158" s="59">
        <v>45972</v>
      </c>
      <c r="I158" s="45" t="s">
        <v>218</v>
      </c>
    </row>
    <row r="159" spans="1:9" ht="18.75">
      <c r="A159" s="41">
        <v>45937</v>
      </c>
      <c r="B159" s="42" t="s">
        <v>7</v>
      </c>
      <c r="C159" s="42" t="s">
        <v>219</v>
      </c>
      <c r="D159" s="43">
        <v>14606</v>
      </c>
      <c r="E159" s="43">
        <v>14606</v>
      </c>
      <c r="F159" s="54">
        <f t="shared" si="2"/>
        <v>0</v>
      </c>
      <c r="G159" s="44" t="s">
        <v>25</v>
      </c>
      <c r="H159" s="59">
        <v>45972</v>
      </c>
      <c r="I159" s="45" t="s">
        <v>214</v>
      </c>
    </row>
    <row r="160" spans="1:9" ht="18.75">
      <c r="A160" s="41">
        <v>45938</v>
      </c>
      <c r="B160" s="42" t="s">
        <v>10</v>
      </c>
      <c r="C160" s="42" t="s">
        <v>220</v>
      </c>
      <c r="D160" s="43">
        <v>295</v>
      </c>
      <c r="E160" s="43">
        <v>295</v>
      </c>
      <c r="F160" s="54">
        <f t="shared" si="2"/>
        <v>0</v>
      </c>
      <c r="G160" s="44" t="s">
        <v>25</v>
      </c>
      <c r="H160" s="59">
        <v>45972</v>
      </c>
      <c r="I160" s="45" t="s">
        <v>212</v>
      </c>
    </row>
    <row r="161" spans="1:9" ht="18.75">
      <c r="A161" s="41">
        <v>45938</v>
      </c>
      <c r="B161" s="42" t="s">
        <v>10</v>
      </c>
      <c r="C161" s="42" t="s">
        <v>221</v>
      </c>
      <c r="D161" s="43">
        <v>15212</v>
      </c>
      <c r="E161" s="43">
        <v>15212</v>
      </c>
      <c r="F161" s="54">
        <f t="shared" si="2"/>
        <v>0</v>
      </c>
      <c r="G161" s="44" t="s">
        <v>25</v>
      </c>
      <c r="H161" s="59">
        <v>45972</v>
      </c>
      <c r="I161" s="45" t="s">
        <v>212</v>
      </c>
    </row>
    <row r="162" spans="1:9" ht="18.75">
      <c r="A162" s="41">
        <v>45938</v>
      </c>
      <c r="B162" s="42" t="s">
        <v>4</v>
      </c>
      <c r="C162" s="42" t="s">
        <v>222</v>
      </c>
      <c r="D162" s="43">
        <v>2266</v>
      </c>
      <c r="E162" s="43">
        <v>2266</v>
      </c>
      <c r="F162" s="54">
        <f t="shared" si="2"/>
        <v>0</v>
      </c>
      <c r="G162" s="44" t="s">
        <v>25</v>
      </c>
      <c r="H162" s="59">
        <v>45972</v>
      </c>
      <c r="I162" s="45" t="s">
        <v>223</v>
      </c>
    </row>
    <row r="163" spans="1:9" ht="18.75">
      <c r="A163" s="41">
        <v>45944</v>
      </c>
      <c r="B163" s="42" t="s">
        <v>10</v>
      </c>
      <c r="C163" s="42" t="s">
        <v>224</v>
      </c>
      <c r="D163" s="43">
        <v>11381</v>
      </c>
      <c r="E163" s="43">
        <v>11381</v>
      </c>
      <c r="F163" s="54">
        <f t="shared" si="2"/>
        <v>0</v>
      </c>
      <c r="G163" s="44" t="s">
        <v>25</v>
      </c>
      <c r="H163" s="59">
        <v>45972</v>
      </c>
      <c r="I163" s="45" t="s">
        <v>212</v>
      </c>
    </row>
    <row r="164" spans="1:9" ht="18.75">
      <c r="A164" s="41">
        <v>45944</v>
      </c>
      <c r="B164" s="42" t="s">
        <v>11</v>
      </c>
      <c r="C164" s="42" t="s">
        <v>225</v>
      </c>
      <c r="D164" s="43">
        <v>9072</v>
      </c>
      <c r="E164" s="43">
        <v>9072</v>
      </c>
      <c r="F164" s="54">
        <f t="shared" si="2"/>
        <v>0</v>
      </c>
      <c r="G164" s="44" t="s">
        <v>25</v>
      </c>
      <c r="H164" s="59">
        <v>45972</v>
      </c>
      <c r="I164" s="45" t="s">
        <v>218</v>
      </c>
    </row>
    <row r="165" spans="1:9" ht="18.75">
      <c r="A165" s="41">
        <v>45947</v>
      </c>
      <c r="B165" s="42" t="s">
        <v>11</v>
      </c>
      <c r="C165" s="42" t="s">
        <v>226</v>
      </c>
      <c r="D165" s="43">
        <v>7898</v>
      </c>
      <c r="E165" s="43">
        <v>7898</v>
      </c>
      <c r="F165" s="54">
        <f t="shared" si="2"/>
        <v>0</v>
      </c>
      <c r="G165" s="44" t="s">
        <v>25</v>
      </c>
      <c r="H165" s="59">
        <v>45972</v>
      </c>
      <c r="I165" s="45" t="s">
        <v>218</v>
      </c>
    </row>
    <row r="166" spans="1:9" ht="18.75">
      <c r="A166" s="41">
        <v>45948</v>
      </c>
      <c r="B166" s="42" t="s">
        <v>12</v>
      </c>
      <c r="C166" s="42">
        <v>96</v>
      </c>
      <c r="D166" s="43">
        <v>901</v>
      </c>
      <c r="E166" s="43">
        <v>901</v>
      </c>
      <c r="F166" s="54">
        <f t="shared" si="2"/>
        <v>0</v>
      </c>
      <c r="G166" s="44" t="s">
        <v>25</v>
      </c>
      <c r="H166" s="59">
        <v>45972</v>
      </c>
      <c r="I166" s="45" t="s">
        <v>227</v>
      </c>
    </row>
    <row r="167" spans="1:9" ht="18.75">
      <c r="A167" s="41">
        <v>45947</v>
      </c>
      <c r="B167" s="42" t="s">
        <v>47</v>
      </c>
      <c r="C167" s="42" t="s">
        <v>228</v>
      </c>
      <c r="D167" s="43">
        <v>2337</v>
      </c>
      <c r="E167" s="43">
        <v>2337</v>
      </c>
      <c r="F167" s="54">
        <f t="shared" si="2"/>
        <v>0</v>
      </c>
      <c r="G167" s="44" t="s">
        <v>25</v>
      </c>
      <c r="H167" s="59">
        <v>45972</v>
      </c>
      <c r="I167" s="45" t="s">
        <v>229</v>
      </c>
    </row>
    <row r="168" spans="1:9" ht="18.75">
      <c r="A168" s="41">
        <v>45952</v>
      </c>
      <c r="B168" s="42" t="s">
        <v>42</v>
      </c>
      <c r="C168" s="42" t="s">
        <v>230</v>
      </c>
      <c r="D168" s="43">
        <v>1500</v>
      </c>
      <c r="E168" s="43">
        <v>1500</v>
      </c>
      <c r="F168" s="54">
        <f t="shared" si="2"/>
        <v>0</v>
      </c>
      <c r="G168" s="44" t="s">
        <v>25</v>
      </c>
      <c r="H168" s="59">
        <v>45972</v>
      </c>
      <c r="I168" s="45" t="s">
        <v>231</v>
      </c>
    </row>
    <row r="169" spans="1:9" ht="18.75">
      <c r="A169" s="41">
        <v>45952</v>
      </c>
      <c r="B169" s="42" t="s">
        <v>4</v>
      </c>
      <c r="C169" s="42" t="s">
        <v>232</v>
      </c>
      <c r="D169" s="43">
        <v>6183</v>
      </c>
      <c r="E169" s="43">
        <v>6183</v>
      </c>
      <c r="F169" s="54">
        <f t="shared" si="2"/>
        <v>0</v>
      </c>
      <c r="G169" s="44" t="s">
        <v>25</v>
      </c>
      <c r="H169" s="59">
        <v>45972</v>
      </c>
      <c r="I169" s="45" t="s">
        <v>223</v>
      </c>
    </row>
    <row r="170" spans="1:9" ht="18.75">
      <c r="A170" s="41">
        <v>45953</v>
      </c>
      <c r="B170" s="42" t="s">
        <v>10</v>
      </c>
      <c r="C170" s="42" t="s">
        <v>233</v>
      </c>
      <c r="D170" s="43">
        <v>8871</v>
      </c>
      <c r="E170" s="43">
        <v>8871</v>
      </c>
      <c r="F170" s="54">
        <f t="shared" si="2"/>
        <v>0</v>
      </c>
      <c r="G170" s="44" t="s">
        <v>25</v>
      </c>
      <c r="H170" s="59">
        <v>45972</v>
      </c>
      <c r="I170" s="45" t="s">
        <v>212</v>
      </c>
    </row>
    <row r="171" spans="1:9" ht="18.75">
      <c r="A171" s="41">
        <v>45948</v>
      </c>
      <c r="B171" s="42" t="s">
        <v>9</v>
      </c>
      <c r="C171" s="42" t="s">
        <v>234</v>
      </c>
      <c r="D171" s="43">
        <v>22050</v>
      </c>
      <c r="E171" s="43">
        <v>22050</v>
      </c>
      <c r="F171" s="54">
        <f t="shared" si="2"/>
        <v>0</v>
      </c>
      <c r="G171" s="44" t="s">
        <v>25</v>
      </c>
      <c r="H171" s="59">
        <v>45972</v>
      </c>
      <c r="I171" s="45" t="s">
        <v>216</v>
      </c>
    </row>
    <row r="172" spans="1:9" ht="18.75">
      <c r="A172" s="41">
        <v>45954</v>
      </c>
      <c r="B172" s="42" t="s">
        <v>10</v>
      </c>
      <c r="C172" s="42" t="s">
        <v>235</v>
      </c>
      <c r="D172" s="43">
        <v>32631</v>
      </c>
      <c r="E172" s="43">
        <v>32631</v>
      </c>
      <c r="F172" s="54">
        <f t="shared" si="2"/>
        <v>0</v>
      </c>
      <c r="G172" s="44" t="s">
        <v>25</v>
      </c>
      <c r="H172" s="59">
        <v>45972</v>
      </c>
      <c r="I172" s="45" t="s">
        <v>212</v>
      </c>
    </row>
    <row r="173" spans="1:9" ht="18.75">
      <c r="A173" s="41">
        <v>45955</v>
      </c>
      <c r="B173" s="42" t="s">
        <v>10</v>
      </c>
      <c r="C173" s="42" t="s">
        <v>236</v>
      </c>
      <c r="D173" s="43">
        <v>567</v>
      </c>
      <c r="E173" s="43">
        <v>567</v>
      </c>
      <c r="F173" s="54">
        <f t="shared" si="2"/>
        <v>0</v>
      </c>
      <c r="G173" s="44" t="s">
        <v>25</v>
      </c>
      <c r="H173" s="59">
        <v>45972</v>
      </c>
      <c r="I173" s="45" t="s">
        <v>212</v>
      </c>
    </row>
    <row r="174" spans="1:9" ht="18.75">
      <c r="A174" s="41">
        <v>45955</v>
      </c>
      <c r="B174" s="42" t="s">
        <v>10</v>
      </c>
      <c r="C174" s="42" t="s">
        <v>237</v>
      </c>
      <c r="D174" s="43">
        <v>1208</v>
      </c>
      <c r="E174" s="43">
        <v>1208</v>
      </c>
      <c r="F174" s="54">
        <f t="shared" ref="F174:F237" si="3">F173+D174-E174</f>
        <v>0</v>
      </c>
      <c r="G174" s="44" t="s">
        <v>25</v>
      </c>
      <c r="H174" s="59">
        <v>45972</v>
      </c>
      <c r="I174" s="45" t="s">
        <v>212</v>
      </c>
    </row>
    <row r="175" spans="1:9" ht="18.75">
      <c r="A175" s="41">
        <v>45954</v>
      </c>
      <c r="B175" s="42" t="s">
        <v>12</v>
      </c>
      <c r="C175" s="42">
        <v>97</v>
      </c>
      <c r="D175" s="43">
        <v>868</v>
      </c>
      <c r="E175" s="43">
        <v>868</v>
      </c>
      <c r="F175" s="54">
        <f t="shared" si="3"/>
        <v>0</v>
      </c>
      <c r="G175" s="44" t="s">
        <v>25</v>
      </c>
      <c r="H175" s="59">
        <v>45972</v>
      </c>
      <c r="I175" s="45" t="s">
        <v>227</v>
      </c>
    </row>
    <row r="176" spans="1:9" ht="18.75">
      <c r="A176" s="41">
        <v>45957</v>
      </c>
      <c r="B176" s="42" t="s">
        <v>7</v>
      </c>
      <c r="C176" s="42" t="s">
        <v>238</v>
      </c>
      <c r="D176" s="43">
        <v>2461</v>
      </c>
      <c r="E176" s="43">
        <v>2461</v>
      </c>
      <c r="F176" s="54">
        <f t="shared" si="3"/>
        <v>0</v>
      </c>
      <c r="G176" s="44" t="s">
        <v>25</v>
      </c>
      <c r="H176" s="59">
        <v>45972</v>
      </c>
      <c r="I176" s="45" t="s">
        <v>214</v>
      </c>
    </row>
    <row r="177" spans="1:9" ht="18.75">
      <c r="A177" s="41">
        <v>45957</v>
      </c>
      <c r="B177" s="42" t="s">
        <v>10</v>
      </c>
      <c r="C177" s="42" t="s">
        <v>239</v>
      </c>
      <c r="D177" s="43">
        <v>11428</v>
      </c>
      <c r="E177" s="43">
        <v>11428</v>
      </c>
      <c r="F177" s="54">
        <f t="shared" si="3"/>
        <v>0</v>
      </c>
      <c r="G177" s="44" t="s">
        <v>25</v>
      </c>
      <c r="H177" s="59">
        <v>45972</v>
      </c>
      <c r="I177" s="45" t="s">
        <v>212</v>
      </c>
    </row>
    <row r="178" spans="1:9" ht="18.75">
      <c r="A178" s="41">
        <v>45958</v>
      </c>
      <c r="B178" s="42" t="s">
        <v>51</v>
      </c>
      <c r="C178" s="42" t="s">
        <v>240</v>
      </c>
      <c r="D178" s="43">
        <v>1467</v>
      </c>
      <c r="E178" s="43">
        <v>1467</v>
      </c>
      <c r="F178" s="54">
        <f t="shared" si="3"/>
        <v>0</v>
      </c>
      <c r="G178" s="44" t="s">
        <v>25</v>
      </c>
      <c r="H178" s="59">
        <v>45972</v>
      </c>
      <c r="I178" s="45" t="s">
        <v>241</v>
      </c>
    </row>
    <row r="179" spans="1:9" ht="18.75">
      <c r="A179" s="41">
        <v>45960</v>
      </c>
      <c r="B179" s="42" t="s">
        <v>11</v>
      </c>
      <c r="C179" s="42" t="s">
        <v>242</v>
      </c>
      <c r="D179" s="43">
        <v>7898</v>
      </c>
      <c r="E179" s="43">
        <v>7898</v>
      </c>
      <c r="F179" s="54">
        <f t="shared" si="3"/>
        <v>0</v>
      </c>
      <c r="G179" s="44" t="s">
        <v>25</v>
      </c>
      <c r="H179" s="59">
        <v>45972</v>
      </c>
      <c r="I179" s="45" t="s">
        <v>218</v>
      </c>
    </row>
    <row r="180" spans="1:9" ht="18.75">
      <c r="A180" s="41">
        <v>45960</v>
      </c>
      <c r="B180" s="42" t="s">
        <v>12</v>
      </c>
      <c r="C180" s="42">
        <v>102</v>
      </c>
      <c r="D180" s="43">
        <v>1520</v>
      </c>
      <c r="E180" s="43">
        <v>1520</v>
      </c>
      <c r="F180" s="54">
        <f t="shared" si="3"/>
        <v>0</v>
      </c>
      <c r="G180" s="44" t="s">
        <v>25</v>
      </c>
      <c r="H180" s="59">
        <v>45972</v>
      </c>
      <c r="I180" s="45" t="s">
        <v>227</v>
      </c>
    </row>
    <row r="181" spans="1:9" ht="18.75">
      <c r="A181" s="41">
        <v>45959</v>
      </c>
      <c r="B181" s="42" t="s">
        <v>47</v>
      </c>
      <c r="C181" s="42" t="s">
        <v>243</v>
      </c>
      <c r="D181" s="43">
        <v>361</v>
      </c>
      <c r="E181" s="43">
        <v>361</v>
      </c>
      <c r="F181" s="54">
        <f t="shared" si="3"/>
        <v>0</v>
      </c>
      <c r="G181" s="44" t="s">
        <v>25</v>
      </c>
      <c r="H181" s="59">
        <v>45972</v>
      </c>
      <c r="I181" s="45" t="s">
        <v>229</v>
      </c>
    </row>
    <row r="182" spans="1:9" ht="18.75">
      <c r="A182" s="41">
        <v>45959</v>
      </c>
      <c r="B182" s="42" t="s">
        <v>10</v>
      </c>
      <c r="C182" s="42" t="s">
        <v>244</v>
      </c>
      <c r="D182" s="43">
        <v>5456</v>
      </c>
      <c r="E182" s="43">
        <v>5456</v>
      </c>
      <c r="F182" s="54">
        <f t="shared" si="3"/>
        <v>0</v>
      </c>
      <c r="G182" s="44" t="s">
        <v>25</v>
      </c>
      <c r="H182" s="59">
        <v>45972</v>
      </c>
      <c r="I182" s="45" t="s">
        <v>212</v>
      </c>
    </row>
    <row r="183" spans="1:9" ht="18.75">
      <c r="A183" s="41">
        <v>45964</v>
      </c>
      <c r="B183" s="42" t="s">
        <v>91</v>
      </c>
      <c r="C183" s="42">
        <v>1289</v>
      </c>
      <c r="D183" s="43">
        <v>8543</v>
      </c>
      <c r="E183" s="46">
        <v>8543</v>
      </c>
      <c r="F183" s="54">
        <f t="shared" si="3"/>
        <v>0</v>
      </c>
      <c r="G183" s="44" t="s">
        <v>25</v>
      </c>
      <c r="H183" s="59">
        <v>46004</v>
      </c>
      <c r="I183" s="45" t="s">
        <v>245</v>
      </c>
    </row>
    <row r="184" spans="1:9" ht="18.75">
      <c r="A184" s="41">
        <v>45966</v>
      </c>
      <c r="B184" s="42" t="s">
        <v>10</v>
      </c>
      <c r="C184" s="42" t="s">
        <v>246</v>
      </c>
      <c r="D184" s="43">
        <v>11695</v>
      </c>
      <c r="E184" s="46">
        <v>11695</v>
      </c>
      <c r="F184" s="54">
        <f t="shared" si="3"/>
        <v>0</v>
      </c>
      <c r="G184" s="44" t="s">
        <v>25</v>
      </c>
      <c r="H184" s="59">
        <v>46004</v>
      </c>
      <c r="I184" s="45" t="s">
        <v>247</v>
      </c>
    </row>
    <row r="185" spans="1:9" ht="18.75">
      <c r="A185" s="41">
        <v>45966</v>
      </c>
      <c r="B185" s="42" t="s">
        <v>4</v>
      </c>
      <c r="C185" s="42" t="s">
        <v>248</v>
      </c>
      <c r="D185" s="43">
        <v>1717</v>
      </c>
      <c r="E185" s="46">
        <v>1717</v>
      </c>
      <c r="F185" s="54">
        <f t="shared" si="3"/>
        <v>0</v>
      </c>
      <c r="G185" s="44" t="s">
        <v>25</v>
      </c>
      <c r="H185" s="59">
        <v>46004</v>
      </c>
      <c r="I185" s="45" t="s">
        <v>249</v>
      </c>
    </row>
    <row r="186" spans="1:9" ht="18.75">
      <c r="A186" s="41">
        <v>45971</v>
      </c>
      <c r="B186" s="42" t="s">
        <v>47</v>
      </c>
      <c r="C186" s="42" t="s">
        <v>250</v>
      </c>
      <c r="D186" s="43">
        <v>824</v>
      </c>
      <c r="E186" s="46">
        <v>824</v>
      </c>
      <c r="F186" s="54">
        <f t="shared" si="3"/>
        <v>0</v>
      </c>
      <c r="G186" s="44" t="s">
        <v>25</v>
      </c>
      <c r="H186" s="59">
        <v>46004</v>
      </c>
      <c r="I186" s="45" t="s">
        <v>251</v>
      </c>
    </row>
    <row r="187" spans="1:9" ht="18.75">
      <c r="A187" s="41">
        <v>45973</v>
      </c>
      <c r="B187" s="42" t="s">
        <v>12</v>
      </c>
      <c r="C187" s="42">
        <v>106</v>
      </c>
      <c r="D187" s="43">
        <v>901</v>
      </c>
      <c r="E187" s="46">
        <v>901</v>
      </c>
      <c r="F187" s="54">
        <f t="shared" si="3"/>
        <v>0</v>
      </c>
      <c r="G187" s="44" t="s">
        <v>25</v>
      </c>
      <c r="H187" s="59">
        <v>46004</v>
      </c>
      <c r="I187" s="45" t="s">
        <v>252</v>
      </c>
    </row>
    <row r="188" spans="1:9" ht="18.75">
      <c r="A188" s="41">
        <v>45973</v>
      </c>
      <c r="B188" s="42" t="s">
        <v>11</v>
      </c>
      <c r="C188" s="42" t="s">
        <v>253</v>
      </c>
      <c r="D188" s="43">
        <v>7898</v>
      </c>
      <c r="E188" s="46">
        <v>7898</v>
      </c>
      <c r="F188" s="54">
        <f t="shared" si="3"/>
        <v>0</v>
      </c>
      <c r="G188" s="44" t="s">
        <v>25</v>
      </c>
      <c r="H188" s="59">
        <v>46004</v>
      </c>
      <c r="I188" s="45" t="s">
        <v>254</v>
      </c>
    </row>
    <row r="189" spans="1:9" ht="18.75">
      <c r="A189" s="41">
        <v>45974</v>
      </c>
      <c r="B189" s="42" t="s">
        <v>10</v>
      </c>
      <c r="C189" s="42" t="s">
        <v>255</v>
      </c>
      <c r="D189" s="43">
        <v>18596</v>
      </c>
      <c r="E189" s="46">
        <v>18596</v>
      </c>
      <c r="F189" s="54">
        <f t="shared" si="3"/>
        <v>0</v>
      </c>
      <c r="G189" s="44" t="s">
        <v>25</v>
      </c>
      <c r="H189" s="59">
        <v>46004</v>
      </c>
      <c r="I189" s="45" t="s">
        <v>247</v>
      </c>
    </row>
    <row r="190" spans="1:9" ht="18.75">
      <c r="A190" s="41">
        <v>45974</v>
      </c>
      <c r="B190" s="42" t="s">
        <v>4</v>
      </c>
      <c r="C190" s="42" t="s">
        <v>256</v>
      </c>
      <c r="D190" s="43">
        <v>6183</v>
      </c>
      <c r="E190" s="46">
        <v>6183</v>
      </c>
      <c r="F190" s="54">
        <f t="shared" si="3"/>
        <v>0</v>
      </c>
      <c r="G190" s="44" t="s">
        <v>25</v>
      </c>
      <c r="H190" s="59">
        <v>46004</v>
      </c>
      <c r="I190" s="45" t="s">
        <v>249</v>
      </c>
    </row>
    <row r="191" spans="1:9" ht="18.75">
      <c r="A191" s="41">
        <v>45973</v>
      </c>
      <c r="B191" s="42" t="s">
        <v>9</v>
      </c>
      <c r="C191" s="42" t="s">
        <v>257</v>
      </c>
      <c r="D191" s="43">
        <v>1890</v>
      </c>
      <c r="E191" s="46">
        <v>1890</v>
      </c>
      <c r="F191" s="54">
        <f t="shared" si="3"/>
        <v>0</v>
      </c>
      <c r="G191" s="44" t="s">
        <v>25</v>
      </c>
      <c r="H191" s="59">
        <v>46004</v>
      </c>
      <c r="I191" s="45" t="s">
        <v>258</v>
      </c>
    </row>
    <row r="192" spans="1:9" ht="18.75">
      <c r="A192" s="41">
        <v>45979</v>
      </c>
      <c r="B192" s="42" t="s">
        <v>3</v>
      </c>
      <c r="C192" s="42" t="s">
        <v>259</v>
      </c>
      <c r="D192" s="43">
        <v>4825</v>
      </c>
      <c r="E192" s="46">
        <v>4825</v>
      </c>
      <c r="F192" s="54">
        <f t="shared" si="3"/>
        <v>0</v>
      </c>
      <c r="G192" s="44" t="s">
        <v>25</v>
      </c>
      <c r="H192" s="59">
        <v>46004</v>
      </c>
      <c r="I192" s="45" t="s">
        <v>260</v>
      </c>
    </row>
    <row r="193" spans="1:9" ht="18.75">
      <c r="A193" s="41">
        <v>45980</v>
      </c>
      <c r="B193" s="42" t="s">
        <v>11</v>
      </c>
      <c r="C193" s="42" t="s">
        <v>261</v>
      </c>
      <c r="D193" s="43">
        <v>6581</v>
      </c>
      <c r="E193" s="46">
        <v>6581</v>
      </c>
      <c r="F193" s="54">
        <f t="shared" si="3"/>
        <v>0</v>
      </c>
      <c r="G193" s="44" t="s">
        <v>25</v>
      </c>
      <c r="H193" s="59">
        <v>46004</v>
      </c>
      <c r="I193" s="45" t="s">
        <v>254</v>
      </c>
    </row>
    <row r="194" spans="1:9" ht="18.75">
      <c r="A194" s="41">
        <v>45982</v>
      </c>
      <c r="B194" s="42" t="s">
        <v>10</v>
      </c>
      <c r="C194" s="42" t="s">
        <v>262</v>
      </c>
      <c r="D194" s="43">
        <v>2286</v>
      </c>
      <c r="E194" s="46">
        <v>2286</v>
      </c>
      <c r="F194" s="54">
        <f t="shared" si="3"/>
        <v>0</v>
      </c>
      <c r="G194" s="44" t="s">
        <v>25</v>
      </c>
      <c r="H194" s="59">
        <v>46004</v>
      </c>
      <c r="I194" s="45" t="s">
        <v>247</v>
      </c>
    </row>
    <row r="195" spans="1:9" ht="18.75">
      <c r="A195" s="41">
        <v>45982</v>
      </c>
      <c r="B195" s="42" t="s">
        <v>3</v>
      </c>
      <c r="C195" s="42" t="s">
        <v>263</v>
      </c>
      <c r="D195" s="43">
        <v>6650</v>
      </c>
      <c r="E195" s="46">
        <v>6650</v>
      </c>
      <c r="F195" s="54">
        <f t="shared" si="3"/>
        <v>0</v>
      </c>
      <c r="G195" s="44" t="s">
        <v>25</v>
      </c>
      <c r="H195" s="59">
        <v>46004</v>
      </c>
      <c r="I195" s="45" t="s">
        <v>260</v>
      </c>
    </row>
    <row r="196" spans="1:9" ht="18.75">
      <c r="A196" s="41">
        <v>45983</v>
      </c>
      <c r="B196" s="42" t="s">
        <v>91</v>
      </c>
      <c r="C196" s="42">
        <v>1439</v>
      </c>
      <c r="D196" s="43">
        <v>1463</v>
      </c>
      <c r="E196" s="46">
        <v>1463</v>
      </c>
      <c r="F196" s="54">
        <f t="shared" si="3"/>
        <v>0</v>
      </c>
      <c r="G196" s="44" t="s">
        <v>25</v>
      </c>
      <c r="H196" s="59">
        <v>46004</v>
      </c>
      <c r="I196" s="45" t="s">
        <v>245</v>
      </c>
    </row>
    <row r="197" spans="1:9" ht="18.75">
      <c r="A197" s="41">
        <v>45985</v>
      </c>
      <c r="B197" s="42" t="s">
        <v>10</v>
      </c>
      <c r="C197" s="42" t="s">
        <v>264</v>
      </c>
      <c r="D197" s="43">
        <v>2490</v>
      </c>
      <c r="E197" s="46">
        <v>2490</v>
      </c>
      <c r="F197" s="54">
        <f t="shared" si="3"/>
        <v>0</v>
      </c>
      <c r="G197" s="44" t="s">
        <v>25</v>
      </c>
      <c r="H197" s="59">
        <v>46004</v>
      </c>
      <c r="I197" s="45" t="s">
        <v>247</v>
      </c>
    </row>
    <row r="198" spans="1:9" ht="18.75">
      <c r="A198" s="41">
        <v>45986</v>
      </c>
      <c r="B198" s="42" t="s">
        <v>91</v>
      </c>
      <c r="C198" s="42">
        <v>1460</v>
      </c>
      <c r="D198" s="43">
        <v>12814</v>
      </c>
      <c r="E198" s="46">
        <v>12814</v>
      </c>
      <c r="F198" s="54">
        <f t="shared" si="3"/>
        <v>0</v>
      </c>
      <c r="G198" s="44" t="s">
        <v>25</v>
      </c>
      <c r="H198" s="59">
        <v>46004</v>
      </c>
      <c r="I198" s="45" t="s">
        <v>245</v>
      </c>
    </row>
    <row r="199" spans="1:9" ht="18.75">
      <c r="A199" s="41">
        <v>45986</v>
      </c>
      <c r="B199" s="42" t="s">
        <v>10</v>
      </c>
      <c r="C199" s="42" t="s">
        <v>265</v>
      </c>
      <c r="D199" s="43">
        <v>17283</v>
      </c>
      <c r="E199" s="46">
        <v>17283</v>
      </c>
      <c r="F199" s="54">
        <f t="shared" si="3"/>
        <v>0</v>
      </c>
      <c r="G199" s="44" t="s">
        <v>25</v>
      </c>
      <c r="H199" s="59">
        <v>46004</v>
      </c>
      <c r="I199" s="45" t="s">
        <v>247</v>
      </c>
    </row>
    <row r="200" spans="1:9" ht="18.75">
      <c r="A200" s="41">
        <v>45986</v>
      </c>
      <c r="B200" s="42" t="s">
        <v>10</v>
      </c>
      <c r="C200" s="42" t="s">
        <v>266</v>
      </c>
      <c r="D200" s="43">
        <v>12679</v>
      </c>
      <c r="E200" s="46">
        <v>12679</v>
      </c>
      <c r="F200" s="54">
        <f t="shared" si="3"/>
        <v>0</v>
      </c>
      <c r="G200" s="44" t="s">
        <v>25</v>
      </c>
      <c r="H200" s="59">
        <v>46004</v>
      </c>
      <c r="I200" s="45" t="s">
        <v>247</v>
      </c>
    </row>
    <row r="201" spans="1:9" ht="18.75">
      <c r="A201" s="41">
        <v>45986</v>
      </c>
      <c r="B201" s="42" t="s">
        <v>11</v>
      </c>
      <c r="C201" s="42" t="s">
        <v>267</v>
      </c>
      <c r="D201" s="43">
        <v>7898</v>
      </c>
      <c r="E201" s="46">
        <v>7898</v>
      </c>
      <c r="F201" s="54">
        <f t="shared" si="3"/>
        <v>0</v>
      </c>
      <c r="G201" s="44" t="s">
        <v>25</v>
      </c>
      <c r="H201" s="59">
        <v>46004</v>
      </c>
      <c r="I201" s="45" t="s">
        <v>254</v>
      </c>
    </row>
    <row r="202" spans="1:9" ht="18.75">
      <c r="A202" s="41">
        <v>45986</v>
      </c>
      <c r="B202" s="42" t="s">
        <v>7</v>
      </c>
      <c r="C202" s="42" t="s">
        <v>268</v>
      </c>
      <c r="D202" s="43">
        <v>4061</v>
      </c>
      <c r="E202" s="46">
        <v>4061</v>
      </c>
      <c r="F202" s="54">
        <f t="shared" si="3"/>
        <v>0</v>
      </c>
      <c r="G202" s="44" t="s">
        <v>25</v>
      </c>
      <c r="H202" s="59">
        <v>46004</v>
      </c>
      <c r="I202" s="45" t="s">
        <v>269</v>
      </c>
    </row>
    <row r="203" spans="1:9" ht="18.75">
      <c r="A203" s="41">
        <v>45988</v>
      </c>
      <c r="B203" s="42" t="s">
        <v>10</v>
      </c>
      <c r="C203" s="42" t="s">
        <v>270</v>
      </c>
      <c r="D203" s="43">
        <v>6407</v>
      </c>
      <c r="E203" s="46">
        <v>6407</v>
      </c>
      <c r="F203" s="54">
        <f t="shared" si="3"/>
        <v>0</v>
      </c>
      <c r="G203" s="44" t="s">
        <v>25</v>
      </c>
      <c r="H203" s="59">
        <v>46004</v>
      </c>
      <c r="I203" s="45" t="s">
        <v>247</v>
      </c>
    </row>
    <row r="204" spans="1:9" ht="18.75">
      <c r="A204" s="41">
        <v>45989</v>
      </c>
      <c r="B204" s="42" t="s">
        <v>12</v>
      </c>
      <c r="C204" s="42">
        <v>111</v>
      </c>
      <c r="D204" s="43">
        <v>2051</v>
      </c>
      <c r="E204" s="46">
        <v>2051</v>
      </c>
      <c r="F204" s="54">
        <f t="shared" si="3"/>
        <v>0</v>
      </c>
      <c r="G204" s="44" t="s">
        <v>25</v>
      </c>
      <c r="H204" s="59">
        <v>46004</v>
      </c>
      <c r="I204" s="45" t="s">
        <v>252</v>
      </c>
    </row>
    <row r="205" spans="1:9" ht="18.75">
      <c r="A205" s="41">
        <v>45989</v>
      </c>
      <c r="B205" s="42" t="s">
        <v>47</v>
      </c>
      <c r="C205" s="42" t="s">
        <v>271</v>
      </c>
      <c r="D205" s="43">
        <v>1312</v>
      </c>
      <c r="E205" s="46">
        <v>1312</v>
      </c>
      <c r="F205" s="54">
        <f t="shared" si="3"/>
        <v>0</v>
      </c>
      <c r="G205" s="44" t="s">
        <v>25</v>
      </c>
      <c r="H205" s="59">
        <v>46004</v>
      </c>
      <c r="I205" s="45" t="s">
        <v>251</v>
      </c>
    </row>
    <row r="206" spans="1:9" ht="18.75">
      <c r="A206" s="41">
        <v>45990</v>
      </c>
      <c r="B206" s="42" t="s">
        <v>91</v>
      </c>
      <c r="C206" s="42">
        <v>1495</v>
      </c>
      <c r="D206" s="43">
        <v>21000</v>
      </c>
      <c r="E206" s="46">
        <v>21000</v>
      </c>
      <c r="F206" s="54">
        <f t="shared" si="3"/>
        <v>0</v>
      </c>
      <c r="G206" s="44" t="s">
        <v>25</v>
      </c>
      <c r="H206" s="59">
        <v>46004</v>
      </c>
      <c r="I206" s="45" t="s">
        <v>245</v>
      </c>
    </row>
    <row r="207" spans="1:9" ht="18.75">
      <c r="A207" s="62">
        <v>45992</v>
      </c>
      <c r="B207" s="42" t="s">
        <v>91</v>
      </c>
      <c r="C207" s="42">
        <v>1505</v>
      </c>
      <c r="D207" s="43">
        <v>3901</v>
      </c>
      <c r="E207" s="46">
        <v>3901</v>
      </c>
      <c r="F207" s="54">
        <f t="shared" si="3"/>
        <v>0</v>
      </c>
      <c r="G207" s="44" t="s">
        <v>25</v>
      </c>
      <c r="H207" s="59">
        <v>46026</v>
      </c>
      <c r="I207" s="45" t="s">
        <v>272</v>
      </c>
    </row>
    <row r="208" spans="1:9" ht="18.75">
      <c r="A208" s="62">
        <v>45992</v>
      </c>
      <c r="B208" s="42" t="s">
        <v>7</v>
      </c>
      <c r="C208" s="42" t="s">
        <v>273</v>
      </c>
      <c r="D208" s="43">
        <v>14606</v>
      </c>
      <c r="E208" s="46">
        <v>14606</v>
      </c>
      <c r="F208" s="54">
        <f t="shared" si="3"/>
        <v>0</v>
      </c>
      <c r="G208" s="44" t="s">
        <v>25</v>
      </c>
      <c r="H208" s="59">
        <v>46026</v>
      </c>
      <c r="I208" s="45" t="s">
        <v>161</v>
      </c>
    </row>
    <row r="209" spans="1:9" ht="18.75">
      <c r="A209" s="62">
        <v>45995</v>
      </c>
      <c r="B209" s="42" t="s">
        <v>91</v>
      </c>
      <c r="C209" s="42">
        <v>1531</v>
      </c>
      <c r="D209" s="43">
        <v>5363</v>
      </c>
      <c r="E209" s="46">
        <v>5363</v>
      </c>
      <c r="F209" s="54">
        <f t="shared" si="3"/>
        <v>0</v>
      </c>
      <c r="G209" s="44" t="s">
        <v>25</v>
      </c>
      <c r="H209" s="59">
        <v>46026</v>
      </c>
      <c r="I209" s="45" t="s">
        <v>272</v>
      </c>
    </row>
    <row r="210" spans="1:9" ht="18.75">
      <c r="A210" s="62">
        <v>45999</v>
      </c>
      <c r="B210" s="42" t="s">
        <v>10</v>
      </c>
      <c r="C210" s="42" t="s">
        <v>274</v>
      </c>
      <c r="D210" s="43">
        <v>13466</v>
      </c>
      <c r="E210" s="46">
        <v>13466</v>
      </c>
      <c r="F210" s="54">
        <f t="shared" si="3"/>
        <v>0</v>
      </c>
      <c r="G210" s="44" t="s">
        <v>25</v>
      </c>
      <c r="H210" s="59">
        <v>46026</v>
      </c>
      <c r="I210" s="45" t="s">
        <v>275</v>
      </c>
    </row>
    <row r="211" spans="1:9" ht="18.75">
      <c r="A211" s="62">
        <v>45999</v>
      </c>
      <c r="B211" s="42" t="s">
        <v>6</v>
      </c>
      <c r="C211" s="42" t="s">
        <v>276</v>
      </c>
      <c r="D211" s="43">
        <v>11720</v>
      </c>
      <c r="E211" s="46">
        <v>11720</v>
      </c>
      <c r="F211" s="54">
        <f t="shared" si="3"/>
        <v>0</v>
      </c>
      <c r="G211" s="44" t="s">
        <v>25</v>
      </c>
      <c r="H211" s="59">
        <v>46026</v>
      </c>
      <c r="I211" s="45" t="s">
        <v>277</v>
      </c>
    </row>
    <row r="212" spans="1:9" ht="18.75">
      <c r="A212" s="62">
        <v>46000</v>
      </c>
      <c r="B212" s="42" t="s">
        <v>47</v>
      </c>
      <c r="C212" s="42" t="s">
        <v>278</v>
      </c>
      <c r="D212" s="43">
        <v>2371</v>
      </c>
      <c r="E212" s="46">
        <v>2371</v>
      </c>
      <c r="F212" s="54">
        <f t="shared" si="3"/>
        <v>0</v>
      </c>
      <c r="G212" s="44" t="s">
        <v>25</v>
      </c>
      <c r="H212" s="59">
        <v>46026</v>
      </c>
      <c r="I212" s="45" t="s">
        <v>279</v>
      </c>
    </row>
    <row r="213" spans="1:9" ht="18.75">
      <c r="A213" s="62">
        <v>46001</v>
      </c>
      <c r="B213" s="42" t="s">
        <v>11</v>
      </c>
      <c r="C213" s="42" t="s">
        <v>280</v>
      </c>
      <c r="D213" s="43">
        <v>6581</v>
      </c>
      <c r="E213" s="46">
        <v>6581</v>
      </c>
      <c r="F213" s="54">
        <f t="shared" si="3"/>
        <v>0</v>
      </c>
      <c r="G213" s="44" t="s">
        <v>25</v>
      </c>
      <c r="H213" s="59">
        <v>46026</v>
      </c>
      <c r="I213" s="45" t="s">
        <v>281</v>
      </c>
    </row>
    <row r="214" spans="1:9" ht="18.75">
      <c r="A214" s="41">
        <v>46007</v>
      </c>
      <c r="B214" s="42" t="s">
        <v>10</v>
      </c>
      <c r="C214" s="42" t="s">
        <v>282</v>
      </c>
      <c r="D214" s="43">
        <v>3274</v>
      </c>
      <c r="E214" s="46">
        <v>3274</v>
      </c>
      <c r="F214" s="54">
        <f t="shared" si="3"/>
        <v>0</v>
      </c>
      <c r="G214" s="44" t="s">
        <v>25</v>
      </c>
      <c r="H214" s="59">
        <v>46026</v>
      </c>
      <c r="I214" s="45" t="s">
        <v>275</v>
      </c>
    </row>
    <row r="215" spans="1:9" ht="18.75">
      <c r="A215" s="41">
        <v>46007</v>
      </c>
      <c r="B215" s="42" t="s">
        <v>11</v>
      </c>
      <c r="C215" s="42" t="s">
        <v>283</v>
      </c>
      <c r="D215" s="43">
        <v>7898</v>
      </c>
      <c r="E215" s="46">
        <v>7898</v>
      </c>
      <c r="F215" s="54">
        <f t="shared" si="3"/>
        <v>0</v>
      </c>
      <c r="G215" s="44" t="s">
        <v>25</v>
      </c>
      <c r="H215" s="59">
        <v>46026</v>
      </c>
      <c r="I215" s="45" t="s">
        <v>281</v>
      </c>
    </row>
    <row r="216" spans="1:9" ht="18.75">
      <c r="A216" s="41">
        <v>46009</v>
      </c>
      <c r="B216" s="42" t="s">
        <v>11</v>
      </c>
      <c r="C216" s="42" t="s">
        <v>284</v>
      </c>
      <c r="D216" s="43">
        <v>15675</v>
      </c>
      <c r="E216" s="46">
        <v>15675</v>
      </c>
      <c r="F216" s="54">
        <f t="shared" si="3"/>
        <v>0</v>
      </c>
      <c r="G216" s="44" t="s">
        <v>25</v>
      </c>
      <c r="H216" s="59">
        <v>46026</v>
      </c>
      <c r="I216" s="45" t="s">
        <v>281</v>
      </c>
    </row>
    <row r="217" spans="1:9" ht="18.75">
      <c r="A217" s="41">
        <v>46009</v>
      </c>
      <c r="B217" s="42" t="s">
        <v>12</v>
      </c>
      <c r="C217" s="42">
        <v>116</v>
      </c>
      <c r="D217" s="43">
        <v>810</v>
      </c>
      <c r="E217" s="46">
        <v>810</v>
      </c>
      <c r="F217" s="54">
        <f t="shared" si="3"/>
        <v>0</v>
      </c>
      <c r="G217" s="44" t="s">
        <v>25</v>
      </c>
      <c r="H217" s="59">
        <v>46026</v>
      </c>
      <c r="I217" s="45" t="s">
        <v>285</v>
      </c>
    </row>
    <row r="218" spans="1:9" ht="18.75">
      <c r="A218" s="41">
        <v>46008</v>
      </c>
      <c r="B218" s="42" t="s">
        <v>9</v>
      </c>
      <c r="C218" s="42" t="s">
        <v>286</v>
      </c>
      <c r="D218" s="43">
        <v>22050</v>
      </c>
      <c r="E218" s="46">
        <v>22050</v>
      </c>
      <c r="F218" s="54">
        <f t="shared" si="3"/>
        <v>0</v>
      </c>
      <c r="G218" s="44" t="s">
        <v>25</v>
      </c>
      <c r="H218" s="59">
        <v>46026</v>
      </c>
      <c r="I218" s="45" t="s">
        <v>287</v>
      </c>
    </row>
    <row r="219" spans="1:9" ht="18.75">
      <c r="A219" s="41">
        <v>46013</v>
      </c>
      <c r="B219" s="42" t="s">
        <v>12</v>
      </c>
      <c r="C219" s="42">
        <v>119</v>
      </c>
      <c r="D219" s="43">
        <v>901</v>
      </c>
      <c r="E219" s="46">
        <v>901</v>
      </c>
      <c r="F219" s="54">
        <f t="shared" si="3"/>
        <v>0</v>
      </c>
      <c r="G219" s="44" t="s">
        <v>25</v>
      </c>
      <c r="H219" s="59">
        <v>46026</v>
      </c>
      <c r="I219" s="45" t="s">
        <v>285</v>
      </c>
    </row>
    <row r="220" spans="1:9" ht="18.75">
      <c r="A220" s="41">
        <v>46011</v>
      </c>
      <c r="B220" s="42" t="s">
        <v>7</v>
      </c>
      <c r="C220" s="42" t="s">
        <v>288</v>
      </c>
      <c r="D220" s="43">
        <v>19264</v>
      </c>
      <c r="E220" s="46">
        <v>19264</v>
      </c>
      <c r="F220" s="54">
        <f t="shared" si="3"/>
        <v>0</v>
      </c>
      <c r="G220" s="44" t="s">
        <v>25</v>
      </c>
      <c r="H220" s="59">
        <v>46026</v>
      </c>
      <c r="I220" s="45" t="s">
        <v>161</v>
      </c>
    </row>
    <row r="221" spans="1:9" ht="18.75">
      <c r="A221" s="41">
        <v>46015</v>
      </c>
      <c r="B221" s="42" t="s">
        <v>42</v>
      </c>
      <c r="C221" s="42" t="s">
        <v>289</v>
      </c>
      <c r="D221" s="43">
        <v>1419</v>
      </c>
      <c r="E221" s="46">
        <v>1419</v>
      </c>
      <c r="F221" s="54">
        <f t="shared" si="3"/>
        <v>0</v>
      </c>
      <c r="G221" s="44" t="s">
        <v>25</v>
      </c>
      <c r="H221" s="59">
        <v>46026</v>
      </c>
      <c r="I221" s="45" t="s">
        <v>290</v>
      </c>
    </row>
    <row r="222" spans="1:9" ht="18.75">
      <c r="A222" s="41">
        <v>46015</v>
      </c>
      <c r="B222" s="42" t="s">
        <v>7</v>
      </c>
      <c r="C222" s="42" t="s">
        <v>291</v>
      </c>
      <c r="D222" s="43">
        <v>7883</v>
      </c>
      <c r="E222" s="46">
        <v>7883</v>
      </c>
      <c r="F222" s="54">
        <f t="shared" si="3"/>
        <v>0</v>
      </c>
      <c r="G222" s="44" t="s">
        <v>25</v>
      </c>
      <c r="H222" s="59">
        <v>46026</v>
      </c>
      <c r="I222" s="45" t="s">
        <v>161</v>
      </c>
    </row>
    <row r="223" spans="1:9" ht="18.75">
      <c r="A223" s="41">
        <v>46015</v>
      </c>
      <c r="B223" s="42" t="s">
        <v>10</v>
      </c>
      <c r="C223" s="42" t="s">
        <v>292</v>
      </c>
      <c r="D223" s="43">
        <v>12693</v>
      </c>
      <c r="E223" s="46">
        <v>12693</v>
      </c>
      <c r="F223" s="54">
        <f t="shared" si="3"/>
        <v>0</v>
      </c>
      <c r="G223" s="44" t="s">
        <v>25</v>
      </c>
      <c r="H223" s="59">
        <v>46026</v>
      </c>
      <c r="I223" s="45" t="s">
        <v>275</v>
      </c>
    </row>
    <row r="224" spans="1:9" ht="21">
      <c r="A224" s="41">
        <v>46016</v>
      </c>
      <c r="B224" s="42" t="s">
        <v>12</v>
      </c>
      <c r="C224" s="42">
        <v>120</v>
      </c>
      <c r="D224" s="43">
        <v>940</v>
      </c>
      <c r="E224" s="65">
        <v>940</v>
      </c>
      <c r="F224" s="54">
        <f t="shared" si="3"/>
        <v>0</v>
      </c>
      <c r="G224" s="44" t="s">
        <v>25</v>
      </c>
      <c r="H224" s="59">
        <v>46026</v>
      </c>
      <c r="I224" s="45" t="s">
        <v>285</v>
      </c>
    </row>
    <row r="225" spans="1:9" ht="21">
      <c r="A225" s="41">
        <v>46015</v>
      </c>
      <c r="B225" s="42" t="s">
        <v>10</v>
      </c>
      <c r="C225" s="42" t="s">
        <v>293</v>
      </c>
      <c r="D225" s="43">
        <v>3135</v>
      </c>
      <c r="E225" s="65">
        <v>3135</v>
      </c>
      <c r="F225" s="54">
        <f t="shared" si="3"/>
        <v>0</v>
      </c>
      <c r="G225" s="44" t="s">
        <v>25</v>
      </c>
      <c r="H225" s="59">
        <v>46026</v>
      </c>
      <c r="I225" s="45" t="s">
        <v>275</v>
      </c>
    </row>
    <row r="226" spans="1:9" ht="18.75">
      <c r="A226" s="41">
        <v>46020</v>
      </c>
      <c r="B226" s="42" t="s">
        <v>10</v>
      </c>
      <c r="C226" s="42" t="s">
        <v>294</v>
      </c>
      <c r="D226" s="43">
        <v>11047</v>
      </c>
      <c r="E226" s="46">
        <v>11047</v>
      </c>
      <c r="F226" s="54">
        <f t="shared" si="3"/>
        <v>0</v>
      </c>
      <c r="G226" s="44" t="s">
        <v>25</v>
      </c>
      <c r="H226" s="59">
        <v>46026</v>
      </c>
      <c r="I226" s="45" t="s">
        <v>275</v>
      </c>
    </row>
    <row r="227" spans="1:9" ht="18.75">
      <c r="A227" s="41">
        <v>46020</v>
      </c>
      <c r="B227" s="42" t="s">
        <v>10</v>
      </c>
      <c r="C227" s="42" t="s">
        <v>295</v>
      </c>
      <c r="D227" s="43">
        <v>2449</v>
      </c>
      <c r="E227" s="46">
        <v>2449</v>
      </c>
      <c r="F227" s="54">
        <f t="shared" si="3"/>
        <v>0</v>
      </c>
      <c r="G227" s="44" t="s">
        <v>25</v>
      </c>
      <c r="H227" s="59">
        <v>46026</v>
      </c>
      <c r="I227" s="45" t="s">
        <v>275</v>
      </c>
    </row>
    <row r="228" spans="1:9" ht="18.75">
      <c r="A228" s="41">
        <v>46017</v>
      </c>
      <c r="B228" s="42" t="s">
        <v>11</v>
      </c>
      <c r="C228" s="42" t="s">
        <v>296</v>
      </c>
      <c r="D228" s="43">
        <v>15675</v>
      </c>
      <c r="E228" s="46">
        <v>15675</v>
      </c>
      <c r="F228" s="54">
        <f t="shared" si="3"/>
        <v>0</v>
      </c>
      <c r="G228" s="44" t="s">
        <v>25</v>
      </c>
      <c r="H228" s="59">
        <v>46026</v>
      </c>
      <c r="I228" s="45" t="s">
        <v>281</v>
      </c>
    </row>
    <row r="229" spans="1:9" ht="18.75">
      <c r="A229" s="41">
        <v>46021</v>
      </c>
      <c r="B229" s="42" t="s">
        <v>11</v>
      </c>
      <c r="C229" s="42" t="s">
        <v>297</v>
      </c>
      <c r="D229" s="43">
        <v>7898</v>
      </c>
      <c r="E229" s="46">
        <v>7898</v>
      </c>
      <c r="F229" s="54">
        <f t="shared" si="3"/>
        <v>0</v>
      </c>
      <c r="G229" s="44" t="s">
        <v>25</v>
      </c>
      <c r="H229" s="59">
        <v>46026</v>
      </c>
      <c r="I229" s="45" t="s">
        <v>281</v>
      </c>
    </row>
    <row r="230" spans="1:9" ht="18.75">
      <c r="A230" s="41">
        <v>46025</v>
      </c>
      <c r="B230" s="42" t="s">
        <v>6</v>
      </c>
      <c r="C230" s="42" t="s">
        <v>298</v>
      </c>
      <c r="D230" s="43">
        <v>11145</v>
      </c>
      <c r="E230" s="46">
        <v>11145</v>
      </c>
      <c r="F230" s="54">
        <f t="shared" si="3"/>
        <v>0</v>
      </c>
      <c r="G230" s="44" t="s">
        <v>25</v>
      </c>
      <c r="H230" s="59">
        <v>46063</v>
      </c>
      <c r="I230" s="45" t="s">
        <v>299</v>
      </c>
    </row>
    <row r="231" spans="1:9" ht="18.75">
      <c r="A231" s="41">
        <v>46027</v>
      </c>
      <c r="B231" s="42" t="s">
        <v>51</v>
      </c>
      <c r="C231" s="42" t="s">
        <v>300</v>
      </c>
      <c r="D231" s="43">
        <v>2805</v>
      </c>
      <c r="E231" s="46">
        <v>2805</v>
      </c>
      <c r="F231" s="54">
        <f t="shared" si="3"/>
        <v>0</v>
      </c>
      <c r="G231" s="44" t="s">
        <v>25</v>
      </c>
      <c r="H231" s="59">
        <v>46063</v>
      </c>
      <c r="I231" s="45" t="s">
        <v>301</v>
      </c>
    </row>
    <row r="232" spans="1:9" ht="18.75">
      <c r="A232" s="41">
        <v>46030</v>
      </c>
      <c r="B232" s="42" t="s">
        <v>10</v>
      </c>
      <c r="C232" s="42" t="s">
        <v>302</v>
      </c>
      <c r="D232" s="43">
        <v>26958</v>
      </c>
      <c r="E232" s="46">
        <v>26958</v>
      </c>
      <c r="F232" s="54">
        <f t="shared" si="3"/>
        <v>0</v>
      </c>
      <c r="G232" s="44" t="s">
        <v>25</v>
      </c>
      <c r="H232" s="41">
        <v>46063</v>
      </c>
      <c r="I232" s="45" t="s">
        <v>303</v>
      </c>
    </row>
    <row r="233" spans="1:9" ht="18.75">
      <c r="A233" s="41">
        <v>46028</v>
      </c>
      <c r="B233" s="42" t="s">
        <v>10</v>
      </c>
      <c r="C233" s="42" t="s">
        <v>304</v>
      </c>
      <c r="D233" s="43">
        <v>20123</v>
      </c>
      <c r="E233" s="46">
        <v>20123</v>
      </c>
      <c r="F233" s="54">
        <f t="shared" si="3"/>
        <v>0</v>
      </c>
      <c r="G233" s="44" t="s">
        <v>25</v>
      </c>
      <c r="H233" s="41">
        <v>46063</v>
      </c>
      <c r="I233" s="45" t="s">
        <v>303</v>
      </c>
    </row>
    <row r="234" spans="1:9" ht="18.75">
      <c r="A234" s="41">
        <v>46027</v>
      </c>
      <c r="B234" s="42" t="s">
        <v>305</v>
      </c>
      <c r="C234" s="42" t="s">
        <v>306</v>
      </c>
      <c r="D234" s="43">
        <v>5625</v>
      </c>
      <c r="E234" s="46">
        <v>5625</v>
      </c>
      <c r="F234" s="54">
        <f t="shared" si="3"/>
        <v>0</v>
      </c>
      <c r="G234" s="44" t="s">
        <v>25</v>
      </c>
      <c r="H234" s="41">
        <v>46063</v>
      </c>
      <c r="I234" s="45" t="s">
        <v>307</v>
      </c>
    </row>
    <row r="235" spans="1:9" ht="18.75">
      <c r="A235" s="41">
        <v>46030</v>
      </c>
      <c r="B235" s="42" t="s">
        <v>10</v>
      </c>
      <c r="C235" s="42" t="s">
        <v>308</v>
      </c>
      <c r="D235" s="43">
        <v>11834</v>
      </c>
      <c r="E235" s="46">
        <v>11834</v>
      </c>
      <c r="F235" s="54">
        <f t="shared" si="3"/>
        <v>0</v>
      </c>
      <c r="G235" s="44" t="s">
        <v>25</v>
      </c>
      <c r="H235" s="41">
        <v>46063</v>
      </c>
      <c r="I235" s="45" t="s">
        <v>303</v>
      </c>
    </row>
    <row r="236" spans="1:9" ht="18.75">
      <c r="A236" s="41">
        <v>46029</v>
      </c>
      <c r="B236" s="42" t="s">
        <v>9</v>
      </c>
      <c r="C236" s="42" t="s">
        <v>309</v>
      </c>
      <c r="D236" s="43">
        <v>6395</v>
      </c>
      <c r="E236" s="46">
        <v>6395</v>
      </c>
      <c r="F236" s="54">
        <f t="shared" si="3"/>
        <v>0</v>
      </c>
      <c r="G236" s="44" t="s">
        <v>25</v>
      </c>
      <c r="H236" s="41">
        <v>46063</v>
      </c>
      <c r="I236" s="45" t="s">
        <v>310</v>
      </c>
    </row>
    <row r="237" spans="1:9" ht="18.75">
      <c r="A237" s="41">
        <v>46022</v>
      </c>
      <c r="B237" s="42" t="s">
        <v>311</v>
      </c>
      <c r="C237" s="42" t="s">
        <v>312</v>
      </c>
      <c r="D237" s="43">
        <v>10940</v>
      </c>
      <c r="E237" s="46">
        <v>10940</v>
      </c>
      <c r="F237" s="54">
        <f t="shared" si="3"/>
        <v>0</v>
      </c>
      <c r="G237" s="44" t="s">
        <v>25</v>
      </c>
      <c r="H237" s="41">
        <v>46038</v>
      </c>
      <c r="I237" s="45" t="s">
        <v>313</v>
      </c>
    </row>
    <row r="238" spans="1:9" ht="18.75">
      <c r="A238" s="41">
        <v>46031</v>
      </c>
      <c r="B238" s="42" t="s">
        <v>10</v>
      </c>
      <c r="C238" s="42" t="s">
        <v>314</v>
      </c>
      <c r="D238" s="43">
        <v>32214</v>
      </c>
      <c r="E238" s="46">
        <v>32214</v>
      </c>
      <c r="F238" s="54">
        <f t="shared" ref="F238:F275" si="4">F237+D238-E238</f>
        <v>0</v>
      </c>
      <c r="G238" s="44" t="s">
        <v>25</v>
      </c>
      <c r="H238" s="41">
        <v>46063</v>
      </c>
      <c r="I238" s="45" t="s">
        <v>303</v>
      </c>
    </row>
    <row r="239" spans="1:9" ht="18.75">
      <c r="A239" s="41">
        <v>46035</v>
      </c>
      <c r="B239" s="42" t="s">
        <v>11</v>
      </c>
      <c r="C239" s="42" t="s">
        <v>315</v>
      </c>
      <c r="D239" s="43">
        <v>7898</v>
      </c>
      <c r="E239" s="46">
        <v>7898</v>
      </c>
      <c r="F239" s="54">
        <f t="shared" si="4"/>
        <v>0</v>
      </c>
      <c r="G239" s="44" t="s">
        <v>25</v>
      </c>
      <c r="H239" s="41">
        <v>46063</v>
      </c>
      <c r="I239" s="45" t="s">
        <v>316</v>
      </c>
    </row>
    <row r="240" spans="1:9" ht="18.75">
      <c r="A240" s="41">
        <v>46041</v>
      </c>
      <c r="B240" s="42" t="s">
        <v>4</v>
      </c>
      <c r="C240" s="42" t="s">
        <v>317</v>
      </c>
      <c r="D240" s="43">
        <v>2266</v>
      </c>
      <c r="E240" s="46">
        <v>2266</v>
      </c>
      <c r="F240" s="54">
        <f t="shared" si="4"/>
        <v>0</v>
      </c>
      <c r="G240" s="44" t="s">
        <v>25</v>
      </c>
      <c r="H240" s="41">
        <v>46063</v>
      </c>
      <c r="I240" s="45" t="s">
        <v>318</v>
      </c>
    </row>
    <row r="241" spans="1:9" ht="18.75">
      <c r="A241" s="41">
        <v>46043</v>
      </c>
      <c r="B241" s="42" t="s">
        <v>47</v>
      </c>
      <c r="C241" s="42" t="s">
        <v>319</v>
      </c>
      <c r="D241" s="43">
        <v>361</v>
      </c>
      <c r="E241" s="46">
        <v>361</v>
      </c>
      <c r="F241" s="54">
        <f t="shared" si="4"/>
        <v>0</v>
      </c>
      <c r="G241" s="44" t="s">
        <v>25</v>
      </c>
      <c r="H241" s="41">
        <v>46063</v>
      </c>
      <c r="I241" s="45" t="s">
        <v>320</v>
      </c>
    </row>
    <row r="242" spans="1:9" ht="18.75">
      <c r="A242" s="41">
        <v>46043</v>
      </c>
      <c r="B242" s="42" t="s">
        <v>12</v>
      </c>
      <c r="C242" s="42">
        <v>27</v>
      </c>
      <c r="D242" s="43">
        <v>2421</v>
      </c>
      <c r="E242" s="46">
        <v>2421</v>
      </c>
      <c r="F242" s="54">
        <f t="shared" si="4"/>
        <v>0</v>
      </c>
      <c r="G242" s="44" t="s">
        <v>25</v>
      </c>
      <c r="H242" s="41">
        <v>46063</v>
      </c>
      <c r="I242" s="45" t="s">
        <v>321</v>
      </c>
    </row>
    <row r="243" spans="1:9" ht="18.75">
      <c r="A243" s="41">
        <v>46043</v>
      </c>
      <c r="B243" s="42" t="s">
        <v>12</v>
      </c>
      <c r="C243" s="42">
        <v>26</v>
      </c>
      <c r="D243" s="43">
        <v>1525</v>
      </c>
      <c r="E243" s="46">
        <v>1525</v>
      </c>
      <c r="F243" s="54">
        <f t="shared" si="4"/>
        <v>0</v>
      </c>
      <c r="G243" s="44" t="s">
        <v>25</v>
      </c>
      <c r="H243" s="41">
        <v>46063</v>
      </c>
      <c r="I243" s="45" t="s">
        <v>321</v>
      </c>
    </row>
    <row r="244" spans="1:9" ht="18.75">
      <c r="A244" s="41">
        <v>46043</v>
      </c>
      <c r="B244" s="42" t="s">
        <v>12</v>
      </c>
      <c r="C244" s="42">
        <v>29</v>
      </c>
      <c r="D244" s="43">
        <v>14110</v>
      </c>
      <c r="E244" s="46">
        <v>14110</v>
      </c>
      <c r="F244" s="54">
        <f t="shared" si="4"/>
        <v>0</v>
      </c>
      <c r="G244" s="44" t="s">
        <v>25</v>
      </c>
      <c r="H244" s="41">
        <v>46063</v>
      </c>
      <c r="I244" s="45" t="s">
        <v>321</v>
      </c>
    </row>
    <row r="245" spans="1:9" ht="18.75">
      <c r="A245" s="41">
        <v>46043</v>
      </c>
      <c r="B245" s="42" t="s">
        <v>51</v>
      </c>
      <c r="C245" s="42" t="s">
        <v>322</v>
      </c>
      <c r="D245" s="43">
        <v>1828</v>
      </c>
      <c r="E245" s="46">
        <v>1828</v>
      </c>
      <c r="F245" s="54">
        <f t="shared" si="4"/>
        <v>0</v>
      </c>
      <c r="G245" s="44" t="s">
        <v>25</v>
      </c>
      <c r="H245" s="41">
        <v>46063</v>
      </c>
      <c r="I245" s="45" t="s">
        <v>301</v>
      </c>
    </row>
    <row r="246" spans="1:9" ht="18.75">
      <c r="A246" s="41">
        <v>46045</v>
      </c>
      <c r="B246" s="42" t="s">
        <v>47</v>
      </c>
      <c r="C246" s="42" t="s">
        <v>323</v>
      </c>
      <c r="D246" s="43">
        <v>5848</v>
      </c>
      <c r="E246" s="46">
        <v>5848</v>
      </c>
      <c r="F246" s="54">
        <f t="shared" si="4"/>
        <v>0</v>
      </c>
      <c r="G246" s="44" t="s">
        <v>25</v>
      </c>
      <c r="H246" s="41">
        <v>46063</v>
      </c>
      <c r="I246" s="45" t="s">
        <v>320</v>
      </c>
    </row>
    <row r="247" spans="1:9" ht="18.75">
      <c r="A247" s="41">
        <v>46046</v>
      </c>
      <c r="B247" s="42" t="s">
        <v>6</v>
      </c>
      <c r="C247" s="42" t="s">
        <v>324</v>
      </c>
      <c r="D247" s="43">
        <v>11720</v>
      </c>
      <c r="E247" s="46">
        <v>11720</v>
      </c>
      <c r="F247" s="54">
        <f t="shared" si="4"/>
        <v>0</v>
      </c>
      <c r="G247" s="44" t="s">
        <v>25</v>
      </c>
      <c r="H247" s="41">
        <v>46063</v>
      </c>
      <c r="I247" s="45" t="s">
        <v>299</v>
      </c>
    </row>
    <row r="248" spans="1:9" ht="18.75">
      <c r="A248" s="41">
        <v>46048</v>
      </c>
      <c r="B248" s="42" t="s">
        <v>11</v>
      </c>
      <c r="C248" s="42" t="s">
        <v>325</v>
      </c>
      <c r="D248" s="43">
        <v>9214</v>
      </c>
      <c r="E248" s="46">
        <v>9214</v>
      </c>
      <c r="F248" s="54">
        <f t="shared" si="4"/>
        <v>0</v>
      </c>
      <c r="G248" s="44" t="s">
        <v>25</v>
      </c>
      <c r="H248" s="41">
        <v>46063</v>
      </c>
      <c r="I248" s="45" t="s">
        <v>316</v>
      </c>
    </row>
    <row r="249" spans="1:9" ht="18.75">
      <c r="A249" s="41">
        <v>46046</v>
      </c>
      <c r="B249" s="42" t="s">
        <v>10</v>
      </c>
      <c r="C249" s="42" t="s">
        <v>326</v>
      </c>
      <c r="D249" s="43">
        <v>5810</v>
      </c>
      <c r="E249" s="46">
        <v>5810</v>
      </c>
      <c r="F249" s="54">
        <f t="shared" si="4"/>
        <v>0</v>
      </c>
      <c r="G249" s="44" t="s">
        <v>25</v>
      </c>
      <c r="H249" s="41">
        <v>46063</v>
      </c>
      <c r="I249" s="45" t="s">
        <v>303</v>
      </c>
    </row>
    <row r="250" spans="1:9" ht="18.75">
      <c r="A250" s="41">
        <v>46048</v>
      </c>
      <c r="B250" s="45" t="s">
        <v>327</v>
      </c>
      <c r="C250" s="45" t="s">
        <v>328</v>
      </c>
      <c r="D250" s="43">
        <v>3447</v>
      </c>
      <c r="E250" s="46">
        <v>3447</v>
      </c>
      <c r="F250" s="54">
        <f t="shared" si="4"/>
        <v>0</v>
      </c>
      <c r="G250" s="44" t="s">
        <v>25</v>
      </c>
      <c r="H250" s="41">
        <v>46063</v>
      </c>
      <c r="I250" s="45" t="s">
        <v>329</v>
      </c>
    </row>
    <row r="251" spans="1:9" ht="18.75">
      <c r="A251" s="41">
        <v>46048</v>
      </c>
      <c r="B251" s="66" t="s">
        <v>10</v>
      </c>
      <c r="C251" s="66" t="s">
        <v>330</v>
      </c>
      <c r="D251" s="43">
        <v>7702</v>
      </c>
      <c r="E251" s="46">
        <v>7702</v>
      </c>
      <c r="F251" s="54">
        <f t="shared" si="4"/>
        <v>0</v>
      </c>
      <c r="G251" s="44" t="s">
        <v>25</v>
      </c>
      <c r="H251" s="41">
        <v>46063</v>
      </c>
      <c r="I251" s="45" t="s">
        <v>303</v>
      </c>
    </row>
    <row r="252" spans="1:9" ht="18.75">
      <c r="A252" s="41">
        <v>46049</v>
      </c>
      <c r="B252" s="66" t="s">
        <v>3</v>
      </c>
      <c r="C252" s="45" t="s">
        <v>331</v>
      </c>
      <c r="D252" s="43">
        <v>6560</v>
      </c>
      <c r="E252" s="46">
        <v>6560</v>
      </c>
      <c r="F252" s="54">
        <f t="shared" si="4"/>
        <v>0</v>
      </c>
      <c r="G252" s="44" t="s">
        <v>25</v>
      </c>
      <c r="H252" s="41">
        <v>46063</v>
      </c>
      <c r="I252" s="45" t="s">
        <v>332</v>
      </c>
    </row>
    <row r="253" spans="1:9" ht="18.75">
      <c r="A253" s="41">
        <v>46052</v>
      </c>
      <c r="B253" s="42" t="s">
        <v>47</v>
      </c>
      <c r="C253" s="66" t="s">
        <v>333</v>
      </c>
      <c r="D253" s="43">
        <v>294</v>
      </c>
      <c r="E253" s="46">
        <v>294</v>
      </c>
      <c r="F253" s="54">
        <f t="shared" si="4"/>
        <v>0</v>
      </c>
      <c r="G253" s="44" t="s">
        <v>25</v>
      </c>
      <c r="H253" s="41">
        <v>46063</v>
      </c>
      <c r="I253" s="45" t="s">
        <v>320</v>
      </c>
    </row>
    <row r="254" spans="1:9" ht="18.75">
      <c r="A254" s="41">
        <v>46052</v>
      </c>
      <c r="B254" s="42" t="s">
        <v>47</v>
      </c>
      <c r="C254" s="66" t="s">
        <v>334</v>
      </c>
      <c r="D254" s="43">
        <v>440</v>
      </c>
      <c r="E254" s="46">
        <v>440</v>
      </c>
      <c r="F254" s="54">
        <f t="shared" si="4"/>
        <v>0</v>
      </c>
      <c r="G254" s="44" t="s">
        <v>25</v>
      </c>
      <c r="H254" s="41">
        <v>46063</v>
      </c>
      <c r="I254" s="45" t="s">
        <v>320</v>
      </c>
    </row>
    <row r="255" spans="1:9" ht="18.75">
      <c r="A255" s="41">
        <v>46056</v>
      </c>
      <c r="B255" s="45" t="s">
        <v>4</v>
      </c>
      <c r="C255" s="45" t="s">
        <v>335</v>
      </c>
      <c r="D255" s="43">
        <v>6183</v>
      </c>
      <c r="E255" s="45"/>
      <c r="F255" s="54">
        <f t="shared" si="4"/>
        <v>6183</v>
      </c>
      <c r="G255" s="45"/>
      <c r="H255" s="45"/>
      <c r="I255" s="45"/>
    </row>
    <row r="256" spans="1:9" ht="18.75">
      <c r="A256" s="41">
        <v>46058</v>
      </c>
      <c r="B256" s="45" t="s">
        <v>11</v>
      </c>
      <c r="C256" s="45" t="s">
        <v>336</v>
      </c>
      <c r="D256" s="43">
        <v>7898</v>
      </c>
      <c r="E256" s="45"/>
      <c r="F256" s="54">
        <f t="shared" si="4"/>
        <v>14081</v>
      </c>
      <c r="G256" s="45"/>
      <c r="H256" s="45"/>
      <c r="I256" s="45"/>
    </row>
    <row r="257" spans="1:9" ht="18.75">
      <c r="A257" s="41">
        <v>46056</v>
      </c>
      <c r="B257" s="45" t="s">
        <v>11</v>
      </c>
      <c r="C257" s="45" t="s">
        <v>337</v>
      </c>
      <c r="D257" s="43">
        <v>2344</v>
      </c>
      <c r="E257" s="45"/>
      <c r="F257" s="54">
        <f t="shared" si="4"/>
        <v>16425</v>
      </c>
      <c r="G257" s="45"/>
      <c r="H257" s="45"/>
      <c r="I257" s="45"/>
    </row>
    <row r="258" spans="1:9" ht="18.75">
      <c r="A258" s="41">
        <v>46060</v>
      </c>
      <c r="B258" s="45" t="s">
        <v>10</v>
      </c>
      <c r="C258" s="45" t="s">
        <v>338</v>
      </c>
      <c r="D258" s="43">
        <v>15930</v>
      </c>
      <c r="E258" s="45"/>
      <c r="F258" s="54">
        <f t="shared" si="4"/>
        <v>32355</v>
      </c>
      <c r="G258" s="45"/>
      <c r="H258" s="45"/>
      <c r="I258" s="45"/>
    </row>
    <row r="259" spans="1:9" ht="18.75">
      <c r="A259" s="41">
        <v>46061</v>
      </c>
      <c r="B259" s="45" t="s">
        <v>12</v>
      </c>
      <c r="C259" s="45" t="s">
        <v>339</v>
      </c>
      <c r="D259" s="43">
        <v>1150</v>
      </c>
      <c r="E259" s="45"/>
      <c r="F259" s="54">
        <f t="shared" si="4"/>
        <v>33505</v>
      </c>
      <c r="G259" s="45"/>
      <c r="H259" s="45"/>
      <c r="I259" s="45"/>
    </row>
    <row r="260" spans="1:9" ht="18.75">
      <c r="A260" s="41">
        <v>46063</v>
      </c>
      <c r="B260" s="45" t="s">
        <v>8</v>
      </c>
      <c r="C260" s="45" t="s">
        <v>340</v>
      </c>
      <c r="D260" s="43">
        <v>435</v>
      </c>
      <c r="E260" s="45"/>
      <c r="F260" s="54">
        <f t="shared" si="4"/>
        <v>33940</v>
      </c>
      <c r="G260" s="45"/>
      <c r="H260" s="45"/>
      <c r="I260" s="45"/>
    </row>
    <row r="261" spans="1:9" ht="18.75">
      <c r="A261" s="41">
        <v>46063</v>
      </c>
      <c r="B261" s="45" t="s">
        <v>8</v>
      </c>
      <c r="C261" s="45" t="s">
        <v>341</v>
      </c>
      <c r="D261" s="43">
        <v>930</v>
      </c>
      <c r="E261" s="45"/>
      <c r="F261" s="54">
        <f t="shared" si="4"/>
        <v>34870</v>
      </c>
      <c r="G261" s="45"/>
      <c r="H261" s="45"/>
      <c r="I261" s="45"/>
    </row>
    <row r="262" spans="1:9" ht="18.75">
      <c r="A262" s="41">
        <v>46064</v>
      </c>
      <c r="B262" s="45" t="s">
        <v>4</v>
      </c>
      <c r="C262" s="45" t="s">
        <v>342</v>
      </c>
      <c r="D262" s="43">
        <v>1717</v>
      </c>
      <c r="E262" s="45"/>
      <c r="F262" s="54">
        <f t="shared" si="4"/>
        <v>36587</v>
      </c>
      <c r="G262" s="45"/>
      <c r="H262" s="45"/>
      <c r="I262" s="45"/>
    </row>
    <row r="263" spans="1:9" ht="18.75">
      <c r="A263" s="41">
        <v>46065</v>
      </c>
      <c r="B263" s="45" t="s">
        <v>7</v>
      </c>
      <c r="C263" s="45" t="s">
        <v>343</v>
      </c>
      <c r="D263" s="43">
        <v>14606</v>
      </c>
      <c r="E263" s="45"/>
      <c r="F263" s="54">
        <f t="shared" si="4"/>
        <v>51193</v>
      </c>
      <c r="G263" s="45"/>
      <c r="H263" s="45"/>
      <c r="I263" s="45"/>
    </row>
    <row r="264" spans="1:9" ht="18.75">
      <c r="A264" s="41">
        <v>46066</v>
      </c>
      <c r="B264" s="45" t="s">
        <v>10</v>
      </c>
      <c r="C264" s="45" t="s">
        <v>344</v>
      </c>
      <c r="D264" s="43">
        <v>7892</v>
      </c>
      <c r="E264" s="45"/>
      <c r="F264" s="54">
        <f t="shared" si="4"/>
        <v>59085</v>
      </c>
      <c r="G264" s="45"/>
      <c r="H264" s="45"/>
      <c r="I264" s="45"/>
    </row>
    <row r="265" spans="1:9" ht="18.75">
      <c r="A265" s="41">
        <v>46066</v>
      </c>
      <c r="B265" s="45" t="s">
        <v>7</v>
      </c>
      <c r="C265" s="45" t="s">
        <v>345</v>
      </c>
      <c r="D265" s="43">
        <v>6283</v>
      </c>
      <c r="E265" s="45"/>
      <c r="F265" s="54">
        <f t="shared" si="4"/>
        <v>65368</v>
      </c>
      <c r="G265" s="45"/>
      <c r="H265" s="45"/>
      <c r="I265" s="45"/>
    </row>
    <row r="266" spans="1:9" ht="18.75">
      <c r="A266" s="41">
        <v>46069</v>
      </c>
      <c r="B266" s="45" t="s">
        <v>10</v>
      </c>
      <c r="C266" s="45" t="s">
        <v>346</v>
      </c>
      <c r="D266" s="43">
        <v>10269</v>
      </c>
      <c r="E266" s="45"/>
      <c r="F266" s="54">
        <f t="shared" si="4"/>
        <v>75637</v>
      </c>
      <c r="G266" s="45"/>
      <c r="H266" s="45"/>
      <c r="I266" s="45"/>
    </row>
    <row r="267" spans="1:9" ht="18.75">
      <c r="A267" s="41">
        <v>46069</v>
      </c>
      <c r="B267" s="45" t="s">
        <v>9</v>
      </c>
      <c r="C267" s="45" t="s">
        <v>347</v>
      </c>
      <c r="D267" s="43">
        <v>22050</v>
      </c>
      <c r="E267" s="45"/>
      <c r="F267" s="54">
        <f t="shared" si="4"/>
        <v>97687</v>
      </c>
      <c r="G267" s="45"/>
      <c r="H267" s="45"/>
      <c r="I267" s="45"/>
    </row>
    <row r="268" spans="1:9" ht="18.75">
      <c r="A268" s="41">
        <v>46070</v>
      </c>
      <c r="B268" s="45" t="s">
        <v>3</v>
      </c>
      <c r="C268" s="45" t="s">
        <v>348</v>
      </c>
      <c r="D268" s="43">
        <v>6707</v>
      </c>
      <c r="E268" s="45"/>
      <c r="F268" s="54">
        <f t="shared" si="4"/>
        <v>104394</v>
      </c>
      <c r="G268" s="45"/>
      <c r="H268" s="45"/>
      <c r="I268" s="45"/>
    </row>
    <row r="269" spans="1:9" ht="18.75">
      <c r="A269" s="41">
        <v>46073</v>
      </c>
      <c r="B269" s="45" t="s">
        <v>6</v>
      </c>
      <c r="C269" s="45" t="s">
        <v>349</v>
      </c>
      <c r="D269" s="43">
        <v>11720</v>
      </c>
      <c r="E269" s="45"/>
      <c r="F269" s="54">
        <f t="shared" si="4"/>
        <v>116114</v>
      </c>
      <c r="G269" s="45"/>
      <c r="H269" s="45"/>
      <c r="I269" s="45"/>
    </row>
    <row r="270" spans="1:9" ht="18.75">
      <c r="A270" s="41">
        <v>46073</v>
      </c>
      <c r="B270" s="45" t="s">
        <v>11</v>
      </c>
      <c r="C270" s="45" t="s">
        <v>350</v>
      </c>
      <c r="D270" s="43">
        <v>7898</v>
      </c>
      <c r="E270" s="45"/>
      <c r="F270" s="54">
        <f t="shared" si="4"/>
        <v>124012</v>
      </c>
      <c r="G270" s="45"/>
      <c r="H270" s="45"/>
      <c r="I270" s="45"/>
    </row>
    <row r="271" spans="1:9" ht="18.75">
      <c r="A271" s="41">
        <v>46076</v>
      </c>
      <c r="B271" s="45" t="s">
        <v>8</v>
      </c>
      <c r="C271" s="45" t="s">
        <v>351</v>
      </c>
      <c r="D271" s="43">
        <v>2570</v>
      </c>
      <c r="E271" s="45"/>
      <c r="F271" s="54">
        <f t="shared" si="4"/>
        <v>126582</v>
      </c>
      <c r="G271" s="45"/>
      <c r="H271" s="45"/>
      <c r="I271" s="45"/>
    </row>
    <row r="272" spans="1:9" ht="18.75">
      <c r="A272" s="41">
        <v>46076</v>
      </c>
      <c r="B272" s="45" t="s">
        <v>5</v>
      </c>
      <c r="C272" s="45" t="s">
        <v>352</v>
      </c>
      <c r="D272" s="43">
        <v>6691</v>
      </c>
      <c r="E272" s="45"/>
      <c r="F272" s="54">
        <f t="shared" si="4"/>
        <v>133273</v>
      </c>
      <c r="G272" s="45"/>
      <c r="H272" s="45"/>
      <c r="I272" s="45"/>
    </row>
    <row r="273" spans="1:9" ht="18.75">
      <c r="A273" s="41">
        <v>46081</v>
      </c>
      <c r="B273" s="45" t="s">
        <v>10</v>
      </c>
      <c r="C273" s="45" t="s">
        <v>353</v>
      </c>
      <c r="D273" s="43">
        <v>5147</v>
      </c>
      <c r="E273" s="45"/>
      <c r="F273" s="54">
        <f t="shared" si="4"/>
        <v>138420</v>
      </c>
      <c r="G273" s="45"/>
      <c r="H273" s="45"/>
      <c r="I273" s="45"/>
    </row>
    <row r="274" spans="1:9" ht="18.75">
      <c r="A274" s="41">
        <v>46081</v>
      </c>
      <c r="B274" s="45" t="s">
        <v>10</v>
      </c>
      <c r="C274" s="45" t="s">
        <v>354</v>
      </c>
      <c r="D274" s="43">
        <v>18766</v>
      </c>
      <c r="E274" s="45"/>
      <c r="F274" s="54">
        <f t="shared" si="4"/>
        <v>157186</v>
      </c>
      <c r="G274" s="45"/>
      <c r="H274" s="45"/>
      <c r="I274" s="45"/>
    </row>
    <row r="275" spans="1:9" ht="18.75">
      <c r="A275" s="41">
        <v>46081</v>
      </c>
      <c r="B275" s="45" t="s">
        <v>12</v>
      </c>
      <c r="C275" s="45" t="s">
        <v>355</v>
      </c>
      <c r="D275" s="43">
        <v>901</v>
      </c>
      <c r="E275" s="45"/>
      <c r="F275" s="54">
        <f t="shared" si="4"/>
        <v>158087</v>
      </c>
      <c r="G275" s="45"/>
      <c r="H275" s="45"/>
      <c r="I275" s="45"/>
    </row>
    <row r="276" spans="1:9" ht="18.75">
      <c r="A276" s="45"/>
      <c r="B276" s="45"/>
      <c r="C276" s="45"/>
      <c r="D276" s="45"/>
      <c r="E276" s="45"/>
      <c r="F276" s="45"/>
      <c r="G276" s="45"/>
      <c r="H276" s="45"/>
      <c r="I276" s="45"/>
    </row>
    <row r="277" spans="1:9" ht="18.75">
      <c r="A277" s="45"/>
      <c r="B277" s="45"/>
      <c r="C277" s="45"/>
      <c r="D277" s="45"/>
      <c r="E277" s="45"/>
      <c r="F277" s="45"/>
      <c r="G277" s="45"/>
      <c r="H277" s="45"/>
      <c r="I277" s="45"/>
    </row>
    <row r="278" spans="1:9" ht="18.75">
      <c r="A278" s="45"/>
      <c r="B278" s="45"/>
      <c r="C278" s="45"/>
      <c r="D278" s="45"/>
      <c r="E278" s="45"/>
      <c r="F278" s="45"/>
      <c r="G278" s="45"/>
      <c r="H278" s="45"/>
      <c r="I278" s="45"/>
    </row>
    <row r="279" spans="1:9" ht="18.75">
      <c r="A279" s="45"/>
      <c r="B279" s="45"/>
      <c r="C279" s="45"/>
      <c r="D279" s="45"/>
      <c r="E279" s="45"/>
      <c r="F279" s="45"/>
      <c r="G279" s="45"/>
      <c r="H279" s="45"/>
      <c r="I279" s="45"/>
    </row>
    <row r="280" spans="1:9" ht="18.75">
      <c r="A280" s="45"/>
      <c r="B280" s="45"/>
      <c r="C280" s="45"/>
      <c r="D280" s="45"/>
      <c r="E280" s="45"/>
      <c r="F280" s="45"/>
      <c r="G280" s="45"/>
      <c r="H280" s="45"/>
      <c r="I280" s="45"/>
    </row>
    <row r="281" spans="1:9" ht="18.75">
      <c r="A281" s="45"/>
      <c r="B281" s="45"/>
      <c r="C281" s="45"/>
      <c r="D281" s="45"/>
      <c r="E281" s="45"/>
      <c r="F281" s="45"/>
      <c r="G281" s="45"/>
      <c r="H281" s="45"/>
      <c r="I281" s="45"/>
    </row>
    <row r="282" spans="1:9" ht="18.75">
      <c r="A282" s="45"/>
      <c r="B282" s="45"/>
      <c r="C282" s="45"/>
      <c r="D282" s="45"/>
      <c r="E282" s="45"/>
      <c r="F282" s="45"/>
      <c r="G282" s="45"/>
      <c r="H282" s="45"/>
      <c r="I282" s="45"/>
    </row>
    <row r="283" spans="1:9" ht="18.75">
      <c r="A283" s="45"/>
      <c r="B283" s="45"/>
      <c r="C283" s="45"/>
      <c r="D283" s="45"/>
      <c r="E283" s="45"/>
      <c r="F283" s="45"/>
      <c r="G283" s="45"/>
      <c r="H283" s="45"/>
      <c r="I283" s="45"/>
    </row>
    <row r="284" spans="1:9" ht="18.75">
      <c r="A284" s="45"/>
      <c r="B284" s="45"/>
      <c r="C284" s="45"/>
      <c r="D284" s="45"/>
      <c r="E284" s="45"/>
      <c r="F284" s="45"/>
      <c r="G284" s="45"/>
      <c r="H284" s="45"/>
      <c r="I284" s="45"/>
    </row>
    <row r="285" spans="1:9" ht="18.75">
      <c r="A285" s="45"/>
      <c r="B285" s="45"/>
      <c r="C285" s="45"/>
      <c r="D285" s="45"/>
      <c r="E285" s="45"/>
      <c r="F285" s="45"/>
      <c r="G285" s="45"/>
      <c r="H285" s="45"/>
      <c r="I285" s="45"/>
    </row>
    <row r="286" spans="1:9" ht="18.75">
      <c r="A286" s="45"/>
      <c r="B286" s="45"/>
      <c r="C286" s="45"/>
      <c r="D286" s="45"/>
      <c r="E286" s="45"/>
      <c r="F286" s="45"/>
      <c r="G286" s="45"/>
      <c r="H286" s="45"/>
      <c r="I286" s="45"/>
    </row>
    <row r="287" spans="1:9" ht="18.75">
      <c r="A287" s="45"/>
      <c r="B287" s="45"/>
      <c r="C287" s="45"/>
      <c r="D287" s="45"/>
      <c r="E287" s="45"/>
      <c r="F287" s="45"/>
      <c r="G287" s="45"/>
      <c r="H287" s="45"/>
      <c r="I287" s="45"/>
    </row>
    <row r="288" spans="1:9" ht="18.75">
      <c r="A288" s="45"/>
      <c r="B288" s="45"/>
      <c r="C288" s="45"/>
      <c r="D288" s="45"/>
      <c r="E288" s="45"/>
      <c r="F288" s="45"/>
      <c r="G288" s="45"/>
      <c r="H288" s="45"/>
      <c r="I288" s="45"/>
    </row>
    <row r="289" spans="1:9" ht="18.75">
      <c r="A289" s="45"/>
      <c r="B289" s="45"/>
      <c r="C289" s="45"/>
      <c r="D289" s="45"/>
      <c r="E289" s="45"/>
      <c r="F289" s="45"/>
      <c r="G289" s="45"/>
      <c r="H289" s="45"/>
      <c r="I289" s="45"/>
    </row>
    <row r="290" spans="1:9" ht="18.75">
      <c r="A290" s="45"/>
      <c r="B290" s="45"/>
      <c r="C290" s="45"/>
      <c r="D290" s="45"/>
      <c r="E290" s="45"/>
      <c r="F290" s="45"/>
      <c r="G290" s="45"/>
      <c r="H290" s="45"/>
      <c r="I290" s="45"/>
    </row>
    <row r="291" spans="1:9" ht="18.75">
      <c r="A291" s="45"/>
      <c r="B291" s="45"/>
      <c r="C291" s="45"/>
      <c r="D291" s="45"/>
      <c r="E291" s="45"/>
      <c r="F291" s="45"/>
      <c r="G291" s="45"/>
      <c r="H291" s="45"/>
      <c r="I291" s="45"/>
    </row>
    <row r="292" spans="1:9" ht="18.75">
      <c r="A292" s="45"/>
      <c r="B292" s="45"/>
      <c r="C292" s="45"/>
      <c r="D292" s="45"/>
      <c r="E292" s="45"/>
      <c r="F292" s="45"/>
      <c r="G292" s="45"/>
      <c r="H292" s="45"/>
      <c r="I292" s="45"/>
    </row>
    <row r="293" spans="1:9" ht="18.75">
      <c r="A293" s="45"/>
      <c r="B293" s="45"/>
      <c r="C293" s="45"/>
      <c r="D293" s="45"/>
      <c r="E293" s="45"/>
      <c r="F293" s="45"/>
      <c r="G293" s="45"/>
      <c r="H293" s="45"/>
      <c r="I293" s="45"/>
    </row>
    <row r="294" spans="1:9" ht="18.75">
      <c r="A294" s="45"/>
      <c r="B294" s="45"/>
      <c r="C294" s="45"/>
      <c r="D294" s="45"/>
      <c r="E294" s="45"/>
      <c r="F294" s="45"/>
      <c r="G294" s="45"/>
      <c r="H294" s="45"/>
      <c r="I294" s="45"/>
    </row>
    <row r="295" spans="1:9" ht="18.75">
      <c r="A295" s="45"/>
      <c r="B295" s="45"/>
      <c r="C295" s="45"/>
      <c r="D295" s="45"/>
      <c r="E295" s="45"/>
      <c r="F295" s="45"/>
      <c r="G295" s="45"/>
      <c r="H295" s="45"/>
      <c r="I295" s="45"/>
    </row>
    <row r="296" spans="1:9" ht="18.75">
      <c r="A296" s="45"/>
      <c r="B296" s="45"/>
      <c r="C296" s="45"/>
      <c r="D296" s="45"/>
      <c r="E296" s="45"/>
      <c r="F296" s="45"/>
      <c r="G296" s="45"/>
      <c r="H296" s="45"/>
      <c r="I296" s="45"/>
    </row>
    <row r="297" spans="1:9" ht="18.75">
      <c r="A297" s="45"/>
      <c r="B297" s="45"/>
      <c r="C297" s="45"/>
      <c r="D297" s="45"/>
      <c r="E297" s="45"/>
      <c r="F297" s="45"/>
      <c r="G297" s="45"/>
      <c r="H297" s="45"/>
      <c r="I297" s="45"/>
    </row>
    <row r="298" spans="1:9" ht="18.75">
      <c r="A298" s="45"/>
      <c r="B298" s="45"/>
      <c r="C298" s="45"/>
      <c r="D298" s="45"/>
      <c r="E298" s="45"/>
      <c r="F298" s="45"/>
      <c r="G298" s="45"/>
      <c r="H298" s="45"/>
      <c r="I298" s="45"/>
    </row>
    <row r="299" spans="1:9" ht="18.75">
      <c r="A299" s="45"/>
      <c r="B299" s="45"/>
      <c r="C299" s="45"/>
      <c r="D299" s="45"/>
      <c r="E299" s="45"/>
      <c r="F299" s="45"/>
      <c r="G299" s="45"/>
      <c r="H299" s="45"/>
      <c r="I299" s="45"/>
    </row>
    <row r="300" spans="1:9" ht="18.75">
      <c r="A300" s="45"/>
      <c r="B300" s="45"/>
      <c r="C300" s="45"/>
      <c r="D300" s="45"/>
      <c r="E300" s="45"/>
      <c r="F300" s="45"/>
      <c r="G300" s="45"/>
      <c r="H300" s="45"/>
      <c r="I300" s="45"/>
    </row>
    <row r="301" spans="1:9" ht="18.75">
      <c r="A301" s="45"/>
      <c r="B301" s="45"/>
      <c r="C301" s="45"/>
      <c r="D301" s="45"/>
      <c r="E301" s="45"/>
      <c r="F301" s="45"/>
      <c r="G301" s="45"/>
      <c r="H301" s="45"/>
      <c r="I301" s="45"/>
    </row>
    <row r="302" spans="1:9" ht="18.75">
      <c r="A302" s="45"/>
      <c r="B302" s="45"/>
      <c r="C302" s="45"/>
      <c r="D302" s="45"/>
      <c r="E302" s="45"/>
      <c r="F302" s="45"/>
      <c r="G302" s="45"/>
      <c r="H302" s="45"/>
      <c r="I302" s="45"/>
    </row>
    <row r="303" spans="1:9" ht="18.75">
      <c r="A303" s="45"/>
      <c r="B303" s="45"/>
      <c r="C303" s="45"/>
      <c r="D303" s="45"/>
      <c r="E303" s="45"/>
      <c r="F303" s="45"/>
      <c r="G303" s="45"/>
      <c r="H303" s="45"/>
      <c r="I303" s="45"/>
    </row>
    <row r="304" spans="1:9" ht="18.75">
      <c r="A304" s="45"/>
      <c r="B304" s="45"/>
      <c r="C304" s="45"/>
      <c r="D304" s="45"/>
      <c r="E304" s="45"/>
      <c r="F304" s="45"/>
      <c r="G304" s="45"/>
      <c r="H304" s="45"/>
      <c r="I304" s="45"/>
    </row>
    <row r="305" spans="1:9" ht="18.75">
      <c r="A305" s="45"/>
      <c r="B305" s="45"/>
      <c r="C305" s="45"/>
      <c r="D305" s="45"/>
      <c r="E305" s="45"/>
      <c r="F305" s="45"/>
      <c r="G305" s="45"/>
      <c r="H305" s="45"/>
      <c r="I305" s="45"/>
    </row>
    <row r="306" spans="1:9" ht="18.75">
      <c r="A306" s="45"/>
      <c r="B306" s="45"/>
      <c r="C306" s="45"/>
      <c r="D306" s="45"/>
      <c r="E306" s="45"/>
      <c r="F306" s="45"/>
      <c r="G306" s="45"/>
      <c r="H306" s="45"/>
      <c r="I306" s="45"/>
    </row>
    <row r="307" spans="1:9" ht="18.75">
      <c r="A307" s="45"/>
      <c r="B307" s="45"/>
      <c r="C307" s="45"/>
      <c r="D307" s="45"/>
      <c r="E307" s="45"/>
      <c r="F307" s="45"/>
      <c r="G307" s="45"/>
      <c r="H307" s="45"/>
      <c r="I307" s="45"/>
    </row>
    <row r="308" spans="1:9" ht="18.75">
      <c r="A308" s="45"/>
      <c r="B308" s="45"/>
      <c r="C308" s="45"/>
      <c r="D308" s="45"/>
      <c r="E308" s="45"/>
      <c r="F308" s="45"/>
      <c r="G308" s="45"/>
      <c r="H308" s="45"/>
      <c r="I308" s="45"/>
    </row>
    <row r="309" spans="1:9" ht="18.75">
      <c r="A309" s="45"/>
      <c r="B309" s="45"/>
      <c r="C309" s="45"/>
      <c r="D309" s="45"/>
      <c r="E309" s="45"/>
      <c r="F309" s="45"/>
      <c r="G309" s="45"/>
      <c r="H309" s="45"/>
      <c r="I309" s="45"/>
    </row>
    <row r="310" spans="1:9" ht="18.75">
      <c r="A310" s="45"/>
      <c r="B310" s="45"/>
      <c r="C310" s="45"/>
      <c r="D310" s="45"/>
      <c r="E310" s="45"/>
      <c r="F310" s="45"/>
      <c r="G310" s="45"/>
      <c r="H310" s="45"/>
      <c r="I310" s="45"/>
    </row>
    <row r="311" spans="1:9" ht="18.75">
      <c r="A311" s="45"/>
      <c r="B311" s="45"/>
      <c r="C311" s="45"/>
      <c r="D311" s="45"/>
      <c r="E311" s="45"/>
      <c r="F311" s="45"/>
      <c r="G311" s="45"/>
      <c r="H311" s="45"/>
      <c r="I311" s="45"/>
    </row>
    <row r="312" spans="1:9" ht="18.75">
      <c r="A312" s="45"/>
      <c r="B312" s="45"/>
      <c r="C312" s="45"/>
      <c r="D312" s="45"/>
      <c r="E312" s="45"/>
      <c r="F312" s="45"/>
      <c r="G312" s="45"/>
      <c r="H312" s="45"/>
      <c r="I312" s="45"/>
    </row>
    <row r="313" spans="1:9" ht="18.75">
      <c r="A313" s="45"/>
      <c r="B313" s="45"/>
      <c r="C313" s="45"/>
      <c r="D313" s="45"/>
      <c r="E313" s="45"/>
      <c r="F313" s="45"/>
      <c r="G313" s="45"/>
      <c r="H313" s="45"/>
      <c r="I313" s="45"/>
    </row>
    <row r="314" spans="1:9" ht="18.75">
      <c r="A314" s="45"/>
      <c r="B314" s="45"/>
      <c r="C314" s="45"/>
      <c r="D314" s="45"/>
      <c r="E314" s="45"/>
      <c r="F314" s="45"/>
      <c r="G314" s="45"/>
      <c r="H314" s="45"/>
      <c r="I314" s="45"/>
    </row>
    <row r="315" spans="1:9" ht="18.75">
      <c r="A315" s="45"/>
      <c r="B315" s="45"/>
      <c r="C315" s="45"/>
      <c r="D315" s="45"/>
      <c r="E315" s="45"/>
      <c r="F315" s="45"/>
      <c r="G315" s="45"/>
      <c r="H315" s="45"/>
      <c r="I315" s="45"/>
    </row>
    <row r="316" spans="1:9" ht="18.75">
      <c r="A316" s="45"/>
      <c r="B316" s="45"/>
      <c r="C316" s="45"/>
      <c r="D316" s="45"/>
      <c r="E316" s="45"/>
      <c r="F316" s="45"/>
      <c r="G316" s="45"/>
      <c r="H316" s="45"/>
      <c r="I316" s="45"/>
    </row>
    <row r="317" spans="1:9" ht="18.75">
      <c r="A317" s="45"/>
      <c r="B317" s="45"/>
      <c r="C317" s="45"/>
      <c r="D317" s="45"/>
      <c r="E317" s="45"/>
      <c r="F317" s="45"/>
      <c r="G317" s="45"/>
      <c r="H317" s="45"/>
      <c r="I317" s="45"/>
    </row>
    <row r="318" spans="1:9" ht="18.75">
      <c r="A318" s="45"/>
      <c r="B318" s="45"/>
      <c r="C318" s="45"/>
      <c r="D318" s="45"/>
      <c r="E318" s="45"/>
      <c r="F318" s="45"/>
      <c r="G318" s="45"/>
      <c r="H318" s="45"/>
      <c r="I318" s="45"/>
    </row>
    <row r="319" spans="1:9" ht="18.75">
      <c r="A319" s="45"/>
      <c r="B319" s="45"/>
      <c r="C319" s="45"/>
      <c r="D319" s="45"/>
      <c r="E319" s="45"/>
      <c r="F319" s="45"/>
      <c r="G319" s="45"/>
      <c r="H319" s="45"/>
      <c r="I319" s="45"/>
    </row>
    <row r="320" spans="1:9" ht="18.75">
      <c r="A320" s="45"/>
      <c r="B320" s="45"/>
      <c r="C320" s="45"/>
      <c r="D320" s="45"/>
      <c r="E320" s="45"/>
      <c r="F320" s="45"/>
      <c r="G320" s="45"/>
      <c r="H320" s="45"/>
      <c r="I320" s="45"/>
    </row>
    <row r="321" spans="1:9" ht="18.75">
      <c r="A321" s="45"/>
      <c r="B321" s="45"/>
      <c r="C321" s="45"/>
      <c r="D321" s="45"/>
      <c r="E321" s="45"/>
      <c r="F321" s="45"/>
      <c r="G321" s="45"/>
      <c r="H321" s="45"/>
      <c r="I321" s="45"/>
    </row>
    <row r="322" spans="1:9" ht="18.75">
      <c r="A322" s="45"/>
      <c r="B322" s="45"/>
      <c r="C322" s="45"/>
      <c r="D322" s="45"/>
      <c r="E322" s="45"/>
      <c r="F322" s="45"/>
      <c r="G322" s="45"/>
      <c r="H322" s="45"/>
      <c r="I322" s="45"/>
    </row>
    <row r="323" spans="1:9" ht="18.75">
      <c r="A323" s="45"/>
      <c r="B323" s="45"/>
      <c r="C323" s="45"/>
      <c r="D323" s="45"/>
      <c r="E323" s="45"/>
      <c r="F323" s="45"/>
      <c r="G323" s="45"/>
      <c r="H323" s="45"/>
      <c r="I323" s="45"/>
    </row>
    <row r="324" spans="1:9" ht="18.75">
      <c r="A324" s="45"/>
      <c r="B324" s="45"/>
      <c r="C324" s="45"/>
      <c r="D324" s="45"/>
      <c r="E324" s="45"/>
      <c r="F324" s="45"/>
      <c r="G324" s="45"/>
      <c r="H324" s="45"/>
      <c r="I324" s="45"/>
    </row>
    <row r="325" spans="1:9" ht="18.75">
      <c r="A325" s="45"/>
      <c r="B325" s="45"/>
      <c r="C325" s="45"/>
      <c r="D325" s="45"/>
      <c r="E325" s="45"/>
      <c r="F325" s="45"/>
      <c r="G325" s="45"/>
      <c r="H325" s="45"/>
      <c r="I325" s="45"/>
    </row>
    <row r="326" spans="1:9" ht="18.75">
      <c r="A326" s="45"/>
      <c r="B326" s="45"/>
      <c r="C326" s="45"/>
      <c r="D326" s="45"/>
      <c r="E326" s="45"/>
      <c r="F326" s="45"/>
      <c r="G326" s="45"/>
      <c r="H326" s="45"/>
      <c r="I326" s="45"/>
    </row>
    <row r="327" spans="1:9" ht="18.75">
      <c r="A327" s="45"/>
      <c r="B327" s="45"/>
      <c r="C327" s="45"/>
      <c r="D327" s="45"/>
      <c r="E327" s="45"/>
      <c r="F327" s="45"/>
      <c r="G327" s="45"/>
      <c r="H327" s="45"/>
      <c r="I327" s="45"/>
    </row>
    <row r="328" spans="1:9" ht="18.75">
      <c r="A328" s="45"/>
      <c r="B328" s="45"/>
      <c r="C328" s="45"/>
      <c r="D328" s="45"/>
      <c r="E328" s="45"/>
      <c r="F328" s="45"/>
      <c r="G328" s="45"/>
      <c r="H328" s="45"/>
      <c r="I328" s="45"/>
    </row>
    <row r="329" spans="1:9" ht="18.75">
      <c r="A329" s="45"/>
      <c r="B329" s="45"/>
      <c r="C329" s="45"/>
      <c r="D329" s="45"/>
      <c r="E329" s="45"/>
      <c r="F329" s="45"/>
      <c r="G329" s="45"/>
      <c r="H329" s="45"/>
      <c r="I329" s="45"/>
    </row>
    <row r="330" spans="1:9" ht="18.75">
      <c r="A330" s="45"/>
      <c r="B330" s="45"/>
      <c r="C330" s="45"/>
      <c r="D330" s="45"/>
      <c r="E330" s="45"/>
      <c r="F330" s="45"/>
      <c r="G330" s="45"/>
      <c r="H330" s="45"/>
      <c r="I330" s="45"/>
    </row>
    <row r="331" spans="1:9" ht="18.75">
      <c r="A331" s="45"/>
      <c r="B331" s="45"/>
      <c r="C331" s="45"/>
      <c r="D331" s="45"/>
      <c r="E331" s="45"/>
      <c r="F331" s="45"/>
      <c r="G331" s="45"/>
      <c r="H331" s="45"/>
      <c r="I331" s="45"/>
    </row>
    <row r="332" spans="1:9" ht="18.75">
      <c r="A332" s="45"/>
      <c r="B332" s="45"/>
      <c r="C332" s="45"/>
      <c r="D332" s="45"/>
      <c r="E332" s="45"/>
      <c r="F332" s="45"/>
      <c r="G332" s="45"/>
      <c r="H332" s="45"/>
      <c r="I332" s="45"/>
    </row>
  </sheetData>
  <autoFilter ref="A1:J270" xr:uid="{00000000-0001-0000-0000-000000000000}"/>
  <dataValidations count="1">
    <dataValidation type="list" showInputMessage="1" showErrorMessage="1" promptTitle="Payment Type" prompt="Only enter Bank Transfer, Gpay or Cash" sqref="G2:G254" xr:uid="{B8B5088E-C7BB-48C5-B0DD-A90DA0D4528C}">
      <formula1>"Cash,Gpay,Bank Transfer"</formula1>
    </dataValidation>
  </dataValidations>
  <pageMargins left="0.7" right="0.7" top="0.75" bottom="0.75" header="0.3" footer="0.3"/>
  <pageSetup orientation="portrait" horizontalDpi="300" verticalDpi="300" r:id="rId1"/>
  <ignoredErrors>
    <ignoredError sqref="F3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'Supplier Master'!$B$2:$B$72</xm:f>
          </x14:formula1>
          <xm:sqref>B1 B336:B1048576</xm:sqref>
        </x14:dataValidation>
        <x14:dataValidation type="list" allowBlank="1" showInputMessage="1" showErrorMessage="1" xr:uid="{67E3CD59-351A-45E9-AA3B-DFBFF83BFCCE}">
          <x14:formula1>
            <xm:f>'Supplier Master'!$B$2:$B$99</xm:f>
          </x14:formula1>
          <xm:sqref>B2:B335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workbookViewId="0">
      <selection activeCell="A20" sqref="A20:XFD20"/>
    </sheetView>
  </sheetViews>
  <sheetFormatPr defaultRowHeight="15"/>
  <cols>
    <col min="1" max="1" width="5.140625" style="2" bestFit="1" customWidth="1"/>
    <col min="2" max="2" width="43.140625" customWidth="1"/>
    <col min="3" max="3" width="14.7109375" customWidth="1"/>
    <col min="4" max="4" width="18.5703125" style="4" customWidth="1"/>
    <col min="5" max="5" width="32" customWidth="1"/>
    <col min="6" max="6" width="44.7109375" customWidth="1"/>
    <col min="7" max="7" width="24.85546875" bestFit="1" customWidth="1"/>
    <col min="8" max="8" width="39.7109375" customWidth="1"/>
  </cols>
  <sheetData>
    <row r="1" spans="1:8">
      <c r="A1" s="1" t="s">
        <v>356</v>
      </c>
      <c r="B1" s="11" t="s">
        <v>357</v>
      </c>
      <c r="C1" s="11" t="s">
        <v>358</v>
      </c>
      <c r="D1" s="11" t="s">
        <v>359</v>
      </c>
      <c r="E1" s="11" t="s">
        <v>360</v>
      </c>
      <c r="F1" s="11" t="s">
        <v>361</v>
      </c>
      <c r="G1" s="11" t="s">
        <v>362</v>
      </c>
      <c r="H1" s="11" t="s">
        <v>363</v>
      </c>
    </row>
    <row r="2" spans="1:8">
      <c r="A2" s="10">
        <v>1</v>
      </c>
      <c r="B2" s="8" t="s">
        <v>364</v>
      </c>
      <c r="C2" s="8" t="s">
        <v>365</v>
      </c>
      <c r="D2" s="3">
        <v>152467818</v>
      </c>
      <c r="E2" s="8" t="str">
        <f t="shared" ref="E2:E35" si="0">VLOOKUP(D2,SUPPLIER_MASTER,2,FALSE)</f>
        <v>AKG Enterprises</v>
      </c>
      <c r="F2" s="19">
        <f t="shared" ref="F2:F36" si="1">VLOOKUP(D2,SUPPLIER_MASTER,5,FALSE)</f>
        <v>50200049003978</v>
      </c>
      <c r="G2" s="8" t="str">
        <f t="shared" ref="G2:G37" si="2">VLOOKUP(D2,SUPPLIER_MASTER,6,FALSE)</f>
        <v>HDFC0000879</v>
      </c>
      <c r="H2" s="8"/>
    </row>
    <row r="3" spans="1:8">
      <c r="A3" s="10">
        <v>2</v>
      </c>
      <c r="B3" s="8" t="s">
        <v>366</v>
      </c>
      <c r="C3" s="8" t="s">
        <v>365</v>
      </c>
      <c r="D3" s="3">
        <v>173338102</v>
      </c>
      <c r="E3" s="8" t="str">
        <f t="shared" si="0"/>
        <v>Alpha Technology</v>
      </c>
      <c r="F3" s="19">
        <f t="shared" si="1"/>
        <v>4054261000071</v>
      </c>
      <c r="G3" s="8" t="str">
        <f t="shared" si="2"/>
        <v>CNRB0004054</v>
      </c>
      <c r="H3" s="15"/>
    </row>
    <row r="4" spans="1:8">
      <c r="A4" s="10">
        <v>3</v>
      </c>
      <c r="B4" s="8" t="s">
        <v>12</v>
      </c>
      <c r="C4" s="8" t="s">
        <v>367</v>
      </c>
      <c r="D4" s="3">
        <v>152467795</v>
      </c>
      <c r="E4" s="8" t="str">
        <f t="shared" si="0"/>
        <v>Ambal press</v>
      </c>
      <c r="F4" s="19">
        <f t="shared" si="1"/>
        <v>2916101012442</v>
      </c>
      <c r="G4" s="8" t="str">
        <f t="shared" si="2"/>
        <v>CNRB0002916</v>
      </c>
      <c r="H4" s="8"/>
    </row>
    <row r="5" spans="1:8">
      <c r="A5" s="10">
        <v>4</v>
      </c>
      <c r="B5" s="9" t="s">
        <v>368</v>
      </c>
      <c r="C5" s="8" t="s">
        <v>365</v>
      </c>
      <c r="D5" s="3">
        <v>155282893</v>
      </c>
      <c r="E5" s="8" t="str">
        <f t="shared" si="0"/>
        <v>BHARATH  PHARMA DISTRIBUTORS</v>
      </c>
      <c r="F5" s="19">
        <f t="shared" si="1"/>
        <v>36203334630</v>
      </c>
      <c r="G5" s="8" t="str">
        <f t="shared" si="2"/>
        <v>SBIN0002288</v>
      </c>
      <c r="H5" s="8"/>
    </row>
    <row r="6" spans="1:8">
      <c r="A6" s="10">
        <v>5</v>
      </c>
      <c r="B6" s="8" t="s">
        <v>369</v>
      </c>
      <c r="C6" s="8" t="s">
        <v>365</v>
      </c>
      <c r="D6" s="3">
        <v>178085024</v>
      </c>
      <c r="E6" s="8" t="str">
        <f t="shared" si="0"/>
        <v>GJ MULTICLAVE (INDIA) PVT LTD</v>
      </c>
      <c r="F6" s="19">
        <f t="shared" si="1"/>
        <v>602705040717</v>
      </c>
      <c r="G6" s="8" t="str">
        <f t="shared" si="2"/>
        <v>ICIC0000011</v>
      </c>
      <c r="H6" s="8"/>
    </row>
    <row r="7" spans="1:8">
      <c r="A7" s="10">
        <v>6</v>
      </c>
      <c r="B7" s="8" t="s">
        <v>370</v>
      </c>
      <c r="C7" s="8" t="s">
        <v>365</v>
      </c>
      <c r="D7" s="3">
        <v>257076727</v>
      </c>
      <c r="E7" s="8" t="s">
        <v>371</v>
      </c>
      <c r="F7" s="19">
        <f t="shared" si="1"/>
        <v>510909010259579</v>
      </c>
      <c r="G7" s="8" t="str">
        <f t="shared" si="2"/>
        <v>CIUB0000071</v>
      </c>
      <c r="H7" s="8"/>
    </row>
    <row r="8" spans="1:8">
      <c r="A8" s="10">
        <v>7</v>
      </c>
      <c r="B8" s="8" t="s">
        <v>51</v>
      </c>
      <c r="C8" s="8" t="s">
        <v>365</v>
      </c>
      <c r="D8" s="3">
        <v>173262341</v>
      </c>
      <c r="E8" s="8" t="str">
        <f t="shared" si="0"/>
        <v>Dos Agency</v>
      </c>
      <c r="F8" s="19">
        <f t="shared" si="1"/>
        <v>29083000003134</v>
      </c>
      <c r="G8" s="8" t="str">
        <f t="shared" si="2"/>
        <v>SIBL0000029</v>
      </c>
      <c r="H8" s="8"/>
    </row>
    <row r="9" spans="1:8">
      <c r="A9" s="10">
        <v>8</v>
      </c>
      <c r="B9" s="8" t="s">
        <v>11</v>
      </c>
      <c r="C9" s="8" t="s">
        <v>367</v>
      </c>
      <c r="D9" s="3">
        <v>152467775</v>
      </c>
      <c r="E9" s="8" t="str">
        <f t="shared" si="0"/>
        <v>Jaya distributors</v>
      </c>
      <c r="F9" s="19">
        <f t="shared" si="1"/>
        <v>29083000003086</v>
      </c>
      <c r="G9" s="8" t="str">
        <f t="shared" si="2"/>
        <v>SIBL0000029</v>
      </c>
      <c r="H9" s="8"/>
    </row>
    <row r="10" spans="1:8">
      <c r="A10" s="10">
        <v>9</v>
      </c>
      <c r="B10" s="8" t="s">
        <v>203</v>
      </c>
      <c r="C10" s="8" t="s">
        <v>367</v>
      </c>
      <c r="D10" s="3">
        <v>162902601</v>
      </c>
      <c r="E10" s="8" t="str">
        <f t="shared" si="0"/>
        <v>SRI JAYAMARUTHI OFFSET</v>
      </c>
      <c r="F10" s="19">
        <f t="shared" si="1"/>
        <v>606605500252</v>
      </c>
      <c r="G10" s="8" t="str">
        <f t="shared" si="2"/>
        <v>ICIC0000011</v>
      </c>
      <c r="H10" s="8"/>
    </row>
    <row r="11" spans="1:8">
      <c r="A11" s="10">
        <v>10</v>
      </c>
      <c r="B11" s="8" t="s">
        <v>10</v>
      </c>
      <c r="C11" s="8" t="s">
        <v>365</v>
      </c>
      <c r="D11" s="3">
        <v>152427270</v>
      </c>
      <c r="E11" s="8" t="str">
        <f t="shared" si="0"/>
        <v>KANAGAVALLI PHARMA</v>
      </c>
      <c r="F11" s="19">
        <f t="shared" si="1"/>
        <v>71120000149432</v>
      </c>
      <c r="G11" s="8" t="str">
        <f t="shared" si="2"/>
        <v>CIUB0000071</v>
      </c>
      <c r="H11" s="8"/>
    </row>
    <row r="12" spans="1:8">
      <c r="A12" s="10">
        <v>11</v>
      </c>
      <c r="B12" s="8" t="s">
        <v>9</v>
      </c>
      <c r="C12" s="8" t="s">
        <v>365</v>
      </c>
      <c r="D12" s="3">
        <v>158675052</v>
      </c>
      <c r="E12" s="8" t="str">
        <f t="shared" si="0"/>
        <v>Krishco medical products p ltd</v>
      </c>
      <c r="F12" s="19">
        <f t="shared" si="1"/>
        <v>602305028133</v>
      </c>
      <c r="G12" s="8" t="str">
        <f t="shared" si="2"/>
        <v>ICIC0000011</v>
      </c>
      <c r="H12" s="8"/>
    </row>
    <row r="13" spans="1:8">
      <c r="A13" s="10">
        <v>12</v>
      </c>
      <c r="B13" s="8" t="s">
        <v>372</v>
      </c>
      <c r="C13" s="8" t="s">
        <v>365</v>
      </c>
      <c r="D13" s="3">
        <v>152467820</v>
      </c>
      <c r="E13" s="8" t="str">
        <f t="shared" si="0"/>
        <v>LAKSHMI PHARMA</v>
      </c>
      <c r="F13" s="19">
        <f t="shared" si="1"/>
        <v>4417000100000100</v>
      </c>
      <c r="G13" s="8" t="str">
        <f t="shared" si="2"/>
        <v>KARB0000441</v>
      </c>
      <c r="H13" s="8"/>
    </row>
    <row r="14" spans="1:8">
      <c r="A14" s="10">
        <v>13</v>
      </c>
      <c r="B14" s="8" t="s">
        <v>8</v>
      </c>
      <c r="C14" s="8" t="s">
        <v>365</v>
      </c>
      <c r="D14" s="3">
        <v>197648608</v>
      </c>
      <c r="E14" s="8" t="str">
        <f t="shared" si="0"/>
        <v>Medigreen Surgicals</v>
      </c>
      <c r="F14" s="19">
        <v>606605028684</v>
      </c>
      <c r="G14" s="8" t="s">
        <v>373</v>
      </c>
      <c r="H14" s="20" t="s">
        <v>374</v>
      </c>
    </row>
    <row r="15" spans="1:8">
      <c r="A15" s="10">
        <v>14</v>
      </c>
      <c r="B15" s="8" t="s">
        <v>7</v>
      </c>
      <c r="C15" s="8" t="s">
        <v>365</v>
      </c>
      <c r="D15" s="3">
        <v>173260931</v>
      </c>
      <c r="E15" s="8" t="str">
        <f t="shared" si="0"/>
        <v>Moral Pharma</v>
      </c>
      <c r="F15" s="19">
        <f t="shared" si="1"/>
        <v>50450600615</v>
      </c>
      <c r="G15" s="8" t="str">
        <f t="shared" si="2"/>
        <v>IDIB000K559</v>
      </c>
      <c r="H15" s="8"/>
    </row>
    <row r="16" spans="1:8">
      <c r="A16" s="10">
        <v>15</v>
      </c>
      <c r="B16" s="8" t="s">
        <v>327</v>
      </c>
      <c r="C16" s="8" t="s">
        <v>365</v>
      </c>
      <c r="D16" s="3">
        <v>238909602</v>
      </c>
      <c r="E16" s="8" t="str">
        <f t="shared" si="0"/>
        <v>PALEPU PHARMA PRIVATE LIMITED</v>
      </c>
      <c r="F16" s="19">
        <f t="shared" si="1"/>
        <v>57500001201068</v>
      </c>
      <c r="G16" s="8" t="str">
        <f t="shared" si="2"/>
        <v>HDFC0000879</v>
      </c>
      <c r="H16" s="8"/>
    </row>
    <row r="17" spans="1:8">
      <c r="A17" s="10">
        <v>16</v>
      </c>
      <c r="B17" s="8" t="s">
        <v>375</v>
      </c>
      <c r="C17" s="8" t="s">
        <v>365</v>
      </c>
      <c r="D17" s="3">
        <v>174744866</v>
      </c>
      <c r="E17" s="8" t="str">
        <f t="shared" si="0"/>
        <v>PEONY PHARMACEUTICAL</v>
      </c>
      <c r="F17" s="19">
        <f t="shared" si="1"/>
        <v>20080200003752</v>
      </c>
      <c r="G17" s="8" t="str">
        <f t="shared" si="2"/>
        <v>FDRL0002008</v>
      </c>
      <c r="H17" s="15"/>
    </row>
    <row r="18" spans="1:8">
      <c r="A18" s="10">
        <v>17</v>
      </c>
      <c r="B18" s="8" t="s">
        <v>33</v>
      </c>
      <c r="C18" s="8" t="s">
        <v>365</v>
      </c>
      <c r="D18" s="3">
        <v>191465698</v>
      </c>
      <c r="E18" s="8" t="str">
        <f t="shared" si="0"/>
        <v>PharmaTrek Private Limited</v>
      </c>
      <c r="F18" s="19">
        <f t="shared" si="1"/>
        <v>777705121160</v>
      </c>
      <c r="G18" s="8" t="str">
        <f t="shared" si="2"/>
        <v>ICIC0000011</v>
      </c>
      <c r="H18" s="8"/>
    </row>
    <row r="19" spans="1:8">
      <c r="A19" s="10">
        <v>18</v>
      </c>
      <c r="B19" s="8" t="s">
        <v>376</v>
      </c>
      <c r="C19" s="8" t="s">
        <v>365</v>
      </c>
      <c r="D19" s="3">
        <v>155044672</v>
      </c>
      <c r="E19" s="8" t="str">
        <f t="shared" si="0"/>
        <v>RAJESWARI ENTERPRISES</v>
      </c>
      <c r="F19" s="19">
        <f t="shared" si="1"/>
        <v>9383211122</v>
      </c>
      <c r="G19" s="8" t="str">
        <f t="shared" si="2"/>
        <v>KKBK0008516</v>
      </c>
      <c r="H19" s="8"/>
    </row>
    <row r="20" spans="1:8">
      <c r="A20" s="10">
        <v>19</v>
      </c>
      <c r="B20" s="8" t="s">
        <v>6</v>
      </c>
      <c r="C20" s="8" t="s">
        <v>365</v>
      </c>
      <c r="D20" s="3">
        <v>178494983</v>
      </c>
      <c r="E20" s="8" t="str">
        <f t="shared" si="0"/>
        <v>S R Agency</v>
      </c>
      <c r="F20" s="19">
        <f t="shared" si="1"/>
        <v>29083000003034</v>
      </c>
      <c r="G20" s="8" t="str">
        <f t="shared" si="2"/>
        <v>SIBL0000029</v>
      </c>
      <c r="H20" s="8"/>
    </row>
    <row r="21" spans="1:8">
      <c r="A21" s="10">
        <v>20</v>
      </c>
      <c r="B21" s="8" t="s">
        <v>377</v>
      </c>
      <c r="C21" s="8" t="s">
        <v>365</v>
      </c>
      <c r="D21" s="3">
        <v>205717538</v>
      </c>
      <c r="E21" s="8" t="str">
        <f t="shared" si="0"/>
        <v>SAYANAM PHARMA</v>
      </c>
      <c r="F21" s="19">
        <f t="shared" si="1"/>
        <v>29073000005723</v>
      </c>
      <c r="G21" s="8" t="str">
        <f t="shared" si="2"/>
        <v>SIBL0000029</v>
      </c>
      <c r="H21" s="8"/>
    </row>
    <row r="22" spans="1:8">
      <c r="A22" s="10">
        <v>21</v>
      </c>
      <c r="B22" s="8" t="s">
        <v>5</v>
      </c>
      <c r="C22" s="8" t="s">
        <v>365</v>
      </c>
      <c r="D22" s="3">
        <v>224318783</v>
      </c>
      <c r="E22" s="8" t="str">
        <f t="shared" si="0"/>
        <v>SRI KUMARAN PHARMACEUTICALS</v>
      </c>
      <c r="F22" s="19">
        <f t="shared" si="1"/>
        <v>59201234566666</v>
      </c>
      <c r="G22" s="8" t="str">
        <f t="shared" si="2"/>
        <v>HDFC0000879</v>
      </c>
      <c r="H22" s="20" t="s">
        <v>378</v>
      </c>
    </row>
    <row r="23" spans="1:8">
      <c r="A23" s="10">
        <v>22</v>
      </c>
      <c r="B23" s="8" t="s">
        <v>4</v>
      </c>
      <c r="C23" s="8" t="s">
        <v>365</v>
      </c>
      <c r="D23" s="3">
        <v>224318633</v>
      </c>
      <c r="E23" s="8" t="str">
        <f t="shared" si="0"/>
        <v>SRI SARAVANA PHARMACEUTICALS</v>
      </c>
      <c r="F23" s="19">
        <f t="shared" si="1"/>
        <v>59201234555555</v>
      </c>
      <c r="G23" s="8" t="str">
        <f t="shared" si="2"/>
        <v>HDFC0000879</v>
      </c>
      <c r="H23" s="20" t="s">
        <v>378</v>
      </c>
    </row>
    <row r="24" spans="1:8">
      <c r="A24" s="10">
        <v>23</v>
      </c>
      <c r="B24" s="8" t="s">
        <v>305</v>
      </c>
      <c r="C24" s="8" t="s">
        <v>365</v>
      </c>
      <c r="D24" s="3">
        <v>152467782</v>
      </c>
      <c r="E24" s="8" t="str">
        <f t="shared" si="0"/>
        <v>Sri Siddi Vinayak agency</v>
      </c>
      <c r="F24" s="19">
        <f t="shared" si="1"/>
        <v>1138115000009750</v>
      </c>
      <c r="G24" s="8" t="str">
        <f t="shared" si="2"/>
        <v>KVBL0001138</v>
      </c>
      <c r="H24" s="8"/>
    </row>
    <row r="25" spans="1:8">
      <c r="A25" s="10">
        <v>24</v>
      </c>
      <c r="B25" s="8" t="s">
        <v>379</v>
      </c>
      <c r="C25" s="8" t="s">
        <v>365</v>
      </c>
      <c r="D25" s="3">
        <v>192004045</v>
      </c>
      <c r="E25" s="8" t="str">
        <f t="shared" si="0"/>
        <v>Sri Vinyak Pharma Distributors</v>
      </c>
      <c r="F25" s="19">
        <f t="shared" si="1"/>
        <v>510909010079735</v>
      </c>
      <c r="G25" s="8" t="str">
        <f t="shared" si="2"/>
        <v>CIUB0000071</v>
      </c>
      <c r="H25" s="8"/>
    </row>
    <row r="26" spans="1:8">
      <c r="A26" s="10">
        <v>25</v>
      </c>
      <c r="B26" s="21" t="s">
        <v>47</v>
      </c>
      <c r="C26" s="21" t="s">
        <v>365</v>
      </c>
      <c r="D26" s="3">
        <v>224587926</v>
      </c>
      <c r="E26" s="8" t="str">
        <f t="shared" si="0"/>
        <v>SRIRAM PHARMA</v>
      </c>
      <c r="F26" s="19">
        <f t="shared" si="1"/>
        <v>606605028144</v>
      </c>
      <c r="G26" s="8" t="str">
        <f t="shared" si="2"/>
        <v>ICIC0000011</v>
      </c>
      <c r="H26" s="21" t="s">
        <v>380</v>
      </c>
    </row>
    <row r="27" spans="1:8">
      <c r="A27" s="10">
        <v>26</v>
      </c>
      <c r="B27" s="8" t="s">
        <v>42</v>
      </c>
      <c r="C27" s="8" t="s">
        <v>365</v>
      </c>
      <c r="D27" s="3">
        <v>191326894</v>
      </c>
      <c r="E27" s="8" t="str">
        <f t="shared" si="0"/>
        <v>Sundaram agencies</v>
      </c>
      <c r="F27" s="19">
        <f t="shared" si="1"/>
        <v>29084000000005</v>
      </c>
      <c r="G27" s="8" t="str">
        <f t="shared" si="2"/>
        <v>SIBL0000029</v>
      </c>
      <c r="H27" s="8"/>
    </row>
    <row r="28" spans="1:8">
      <c r="A28" s="10">
        <v>27</v>
      </c>
      <c r="B28" s="8" t="s">
        <v>381</v>
      </c>
      <c r="C28" s="8" t="s">
        <v>365</v>
      </c>
      <c r="D28" s="3">
        <v>152467817</v>
      </c>
      <c r="E28" s="8" t="str">
        <f t="shared" si="0"/>
        <v>Thirumurugan</v>
      </c>
      <c r="F28" s="19">
        <f t="shared" si="1"/>
        <v>71109000009738</v>
      </c>
      <c r="G28" s="8" t="str">
        <f t="shared" si="2"/>
        <v>CIUB0000071</v>
      </c>
      <c r="H28" s="8"/>
    </row>
    <row r="29" spans="1:8">
      <c r="A29" s="10">
        <v>28</v>
      </c>
      <c r="B29" s="8" t="s">
        <v>382</v>
      </c>
      <c r="C29" s="8" t="s">
        <v>365</v>
      </c>
      <c r="D29" s="3">
        <v>152467824</v>
      </c>
      <c r="E29" s="8" t="str">
        <f t="shared" si="0"/>
        <v>Vaccine house</v>
      </c>
      <c r="F29" s="19">
        <f t="shared" si="1"/>
        <v>936201002194</v>
      </c>
      <c r="G29" s="8" t="str">
        <f t="shared" si="2"/>
        <v>CNRB0000936</v>
      </c>
      <c r="H29" s="8"/>
    </row>
    <row r="30" spans="1:8">
      <c r="A30" s="10">
        <v>29</v>
      </c>
      <c r="B30" s="8" t="s">
        <v>3</v>
      </c>
      <c r="C30" s="8" t="s">
        <v>365</v>
      </c>
      <c r="D30" s="3">
        <v>185422774</v>
      </c>
      <c r="E30" s="8" t="str">
        <f t="shared" si="0"/>
        <v>Vaccine paradise</v>
      </c>
      <c r="F30" s="19">
        <f t="shared" si="1"/>
        <v>48202000002357</v>
      </c>
      <c r="G30" s="8" t="str">
        <f t="shared" si="2"/>
        <v>IOBA0000482</v>
      </c>
      <c r="H30" s="8"/>
    </row>
    <row r="31" spans="1:8">
      <c r="A31" s="10">
        <v>30</v>
      </c>
      <c r="B31" s="8" t="s">
        <v>383</v>
      </c>
      <c r="C31" s="8" t="s">
        <v>365</v>
      </c>
      <c r="D31" s="3">
        <v>192003385</v>
      </c>
      <c r="E31" s="8" t="str">
        <f t="shared" si="0"/>
        <v>VCARE PHARMA</v>
      </c>
      <c r="F31" s="19">
        <f t="shared" si="1"/>
        <v>168605500028</v>
      </c>
      <c r="G31" s="8" t="str">
        <f t="shared" si="2"/>
        <v>ICIC0000011</v>
      </c>
      <c r="H31" s="8"/>
    </row>
    <row r="32" spans="1:8">
      <c r="A32" s="10">
        <v>31</v>
      </c>
      <c r="B32" s="8" t="s">
        <v>91</v>
      </c>
      <c r="C32" s="8" t="s">
        <v>365</v>
      </c>
      <c r="D32" s="3">
        <v>197352497</v>
      </c>
      <c r="E32" s="8" t="str">
        <f t="shared" si="0"/>
        <v>MEDZONE PHARMA</v>
      </c>
      <c r="F32" s="19">
        <f t="shared" si="1"/>
        <v>29073000006096</v>
      </c>
      <c r="G32" s="8" t="str">
        <f t="shared" si="2"/>
        <v>SIBL0000029</v>
      </c>
      <c r="H32" s="8"/>
    </row>
    <row r="33" spans="1:8">
      <c r="A33" s="10">
        <v>32</v>
      </c>
      <c r="B33" s="8" t="s">
        <v>384</v>
      </c>
      <c r="C33" s="8" t="s">
        <v>365</v>
      </c>
      <c r="D33" s="3">
        <v>152467789</v>
      </c>
      <c r="E33" s="8" t="str">
        <f t="shared" si="0"/>
        <v>Medicine zone</v>
      </c>
      <c r="F33" s="19">
        <f t="shared" si="1"/>
        <v>14415500000546</v>
      </c>
      <c r="G33" s="8" t="str">
        <f t="shared" si="2"/>
        <v>FDRL0001441</v>
      </c>
      <c r="H33" s="8"/>
    </row>
    <row r="34" spans="1:8">
      <c r="A34" s="10">
        <v>33</v>
      </c>
      <c r="B34" s="8" t="s">
        <v>385</v>
      </c>
      <c r="C34" s="8" t="s">
        <v>365</v>
      </c>
      <c r="D34" s="3">
        <v>205757767</v>
      </c>
      <c r="E34" s="8" t="str">
        <f t="shared" si="0"/>
        <v>H AUGSTIN PETER</v>
      </c>
      <c r="F34" s="19">
        <f t="shared" si="1"/>
        <v>50100344404312</v>
      </c>
      <c r="G34" s="8" t="str">
        <f t="shared" si="2"/>
        <v>HDFC0000688</v>
      </c>
      <c r="H34" s="8"/>
    </row>
    <row r="35" spans="1:8">
      <c r="A35" s="10">
        <v>34</v>
      </c>
      <c r="B35" s="8" t="s">
        <v>386</v>
      </c>
      <c r="C35" s="8" t="s">
        <v>365</v>
      </c>
      <c r="D35" s="3">
        <v>152467836</v>
      </c>
      <c r="E35" s="8" t="str">
        <f t="shared" si="0"/>
        <v>Serum and Vaccines</v>
      </c>
      <c r="F35" s="19">
        <f t="shared" si="1"/>
        <v>10333074492</v>
      </c>
      <c r="G35" s="8" t="str">
        <f t="shared" si="2"/>
        <v>SBIN0001515</v>
      </c>
      <c r="H35" s="8"/>
    </row>
    <row r="36" spans="1:8">
      <c r="A36" s="10">
        <v>35</v>
      </c>
      <c r="B36" s="8" t="s">
        <v>387</v>
      </c>
      <c r="C36" s="8" t="s">
        <v>365</v>
      </c>
      <c r="D36" s="3"/>
      <c r="E36" s="8"/>
      <c r="F36" s="19" t="e">
        <f t="shared" si="1"/>
        <v>#N/A</v>
      </c>
      <c r="G36" s="8" t="e">
        <f t="shared" si="2"/>
        <v>#N/A</v>
      </c>
      <c r="H36" s="8"/>
    </row>
    <row r="37" spans="1:8">
      <c r="A37" s="10">
        <v>36</v>
      </c>
      <c r="B37" s="8" t="s">
        <v>388</v>
      </c>
      <c r="C37" s="8" t="s">
        <v>365</v>
      </c>
      <c r="D37" s="3"/>
      <c r="E37" s="8" t="e">
        <f>VLOOKUP(D37,SUPPLIER_MASTER,2,FALSE)</f>
        <v>#N/A</v>
      </c>
      <c r="F37" s="19" t="e">
        <f>VLOOKUP(D37,SUPPLIER_MASTER,5,FALSE)</f>
        <v>#N/A</v>
      </c>
      <c r="G37" s="8" t="e">
        <f t="shared" si="2"/>
        <v>#N/A</v>
      </c>
      <c r="H37" s="8" t="s">
        <v>389</v>
      </c>
    </row>
    <row r="38" spans="1:8">
      <c r="A38" s="10">
        <v>37</v>
      </c>
      <c r="B38" s="8" t="s">
        <v>390</v>
      </c>
      <c r="C38" s="8" t="s">
        <v>365</v>
      </c>
      <c r="D38" s="3"/>
      <c r="E38" s="8"/>
      <c r="F38" s="8"/>
      <c r="G38" s="8"/>
      <c r="H38" s="8"/>
    </row>
    <row r="39" spans="1:8">
      <c r="A39" s="10">
        <v>38</v>
      </c>
      <c r="B39" s="8" t="s">
        <v>391</v>
      </c>
      <c r="C39" s="8" t="s">
        <v>365</v>
      </c>
      <c r="D39" s="3"/>
      <c r="E39" s="8" t="e">
        <f t="shared" ref="D39:F46" si="3">VLOOKUP(D39,SUPPLIER_MASTER,2,FALSE)</f>
        <v>#N/A</v>
      </c>
      <c r="F39" s="19" t="e">
        <f>VLOOKUP(D39,SUPPLIER_MASTER,5,FALSE)</f>
        <v>#N/A</v>
      </c>
      <c r="G39" s="8" t="e">
        <f>VLOOKUP(D39,SUPPLIER_MASTER,6,FALSE)</f>
        <v>#N/A</v>
      </c>
      <c r="H39" s="8"/>
    </row>
    <row r="40" spans="1:8">
      <c r="A40" s="10">
        <v>39</v>
      </c>
      <c r="B40" s="8" t="s">
        <v>69</v>
      </c>
      <c r="C40" s="8" t="s">
        <v>365</v>
      </c>
      <c r="D40" s="3"/>
      <c r="E40" s="8" t="s">
        <v>69</v>
      </c>
      <c r="F40" s="19" t="e">
        <f>VLOOKUP(E40,SUPPLIER_MASTER,2,FALSE)</f>
        <v>#N/A</v>
      </c>
      <c r="G40" s="8" t="e">
        <f>VLOOKUP(D40,SUPPLIER_MASTER,6,FALSE)</f>
        <v>#N/A</v>
      </c>
      <c r="H40" s="8"/>
    </row>
    <row r="41" spans="1:8">
      <c r="A41" s="10">
        <v>40</v>
      </c>
      <c r="B41" s="8" t="s">
        <v>392</v>
      </c>
      <c r="C41" s="8" t="s">
        <v>365</v>
      </c>
      <c r="D41" s="3"/>
      <c r="E41" s="8" t="e">
        <f t="shared" si="3"/>
        <v>#N/A</v>
      </c>
      <c r="F41" s="19" t="e">
        <f>VLOOKUP(D41,SUPPLIER_MASTER,5,FALSE)</f>
        <v>#N/A</v>
      </c>
      <c r="G41" s="8" t="e">
        <f>VLOOKUP(D41,SUPPLIER_MASTER,6,FALSE)</f>
        <v>#N/A</v>
      </c>
      <c r="H41" s="8"/>
    </row>
    <row r="42" spans="1:8">
      <c r="A42" s="10">
        <v>41</v>
      </c>
      <c r="B42" s="8" t="s">
        <v>393</v>
      </c>
      <c r="C42" s="8" t="s">
        <v>365</v>
      </c>
      <c r="D42" s="3">
        <v>228434244</v>
      </c>
      <c r="E42" s="8" t="e">
        <f t="shared" si="3"/>
        <v>#N/A</v>
      </c>
      <c r="F42" s="19" t="e">
        <f t="shared" ref="F40:F46" si="4">VLOOKUP(D42,SUPPLIER_MASTER,5,FALSE)</f>
        <v>#N/A</v>
      </c>
      <c r="G42" s="8" t="e">
        <f>VLOOKUP(D42,SUPPLIER_MASTER,6,FALSE)</f>
        <v>#N/A</v>
      </c>
      <c r="H42" s="8" t="s">
        <v>394</v>
      </c>
    </row>
    <row r="43" spans="1:8">
      <c r="A43" s="10">
        <v>42</v>
      </c>
      <c r="B43" s="8" t="s">
        <v>395</v>
      </c>
      <c r="C43" s="8" t="s">
        <v>367</v>
      </c>
      <c r="D43" s="3"/>
      <c r="E43" s="8" t="e">
        <f t="shared" si="3"/>
        <v>#N/A</v>
      </c>
      <c r="F43" s="19" t="e">
        <f t="shared" si="4"/>
        <v>#N/A</v>
      </c>
      <c r="G43" s="8" t="e">
        <f>VLOOKUP(D43,SUPPLIER_MASTER,6,FALSE)</f>
        <v>#N/A</v>
      </c>
      <c r="H43" s="8"/>
    </row>
    <row r="44" spans="1:8">
      <c r="A44" s="10">
        <v>43</v>
      </c>
      <c r="B44" s="8" t="s">
        <v>396</v>
      </c>
      <c r="C44" s="8" t="s">
        <v>397</v>
      </c>
      <c r="D44" s="3">
        <v>228434359</v>
      </c>
      <c r="E44" s="8" t="str">
        <f t="shared" si="3"/>
        <v>CANCER INSTITUTE WIA</v>
      </c>
      <c r="F44" s="19">
        <f t="shared" si="4"/>
        <v>149710011000001</v>
      </c>
      <c r="G44" s="8" t="str">
        <f t="shared" ref="G44:G46" si="5">VLOOKUP(D44,SUPPLIER_MASTER,6,FALSE)</f>
        <v>UBIN0814971</v>
      </c>
      <c r="H44" s="8" t="s">
        <v>398</v>
      </c>
    </row>
    <row r="45" spans="1:8">
      <c r="A45" s="10">
        <v>44</v>
      </c>
      <c r="B45" s="8" t="s">
        <v>56</v>
      </c>
      <c r="C45" s="8" t="s">
        <v>365</v>
      </c>
      <c r="D45" s="3">
        <v>236590758</v>
      </c>
      <c r="E45" s="8" t="str">
        <f t="shared" si="3"/>
        <v>Pranavam Health Care</v>
      </c>
      <c r="F45" s="19">
        <f t="shared" si="4"/>
        <v>2722261000012</v>
      </c>
      <c r="G45" s="8" t="str">
        <f t="shared" si="5"/>
        <v>CNRB0002722</v>
      </c>
      <c r="H45" s="8"/>
    </row>
    <row r="46" spans="1:8">
      <c r="A46" s="10">
        <v>45</v>
      </c>
      <c r="B46" s="8" t="s">
        <v>311</v>
      </c>
      <c r="C46" s="8" t="s">
        <v>397</v>
      </c>
      <c r="D46" s="3">
        <v>281248233</v>
      </c>
      <c r="E46" s="8" t="str">
        <f t="shared" si="3"/>
        <v>KARKINOS HEALTHCARE PRIVATE LIMITED</v>
      </c>
      <c r="F46" s="19">
        <f t="shared" si="4"/>
        <v>57500000629538</v>
      </c>
      <c r="G46" s="8" t="str">
        <f t="shared" si="5"/>
        <v>HDFC0000540</v>
      </c>
      <c r="H46" s="8"/>
    </row>
    <row r="47" spans="1:8">
      <c r="A47" s="10">
        <v>46</v>
      </c>
      <c r="B47" s="8"/>
      <c r="C47" s="8"/>
      <c r="D47" s="3"/>
      <c r="E47" s="8"/>
      <c r="F47" s="19"/>
      <c r="G47" s="8"/>
      <c r="H47" s="8"/>
    </row>
    <row r="48" spans="1:8">
      <c r="A48" s="10">
        <v>47</v>
      </c>
      <c r="B48" s="8"/>
      <c r="C48" s="8"/>
      <c r="D48" s="3"/>
      <c r="E48" s="8"/>
      <c r="F48" s="19"/>
      <c r="G48" s="8"/>
      <c r="H48" s="8"/>
    </row>
    <row r="49" spans="1:8">
      <c r="A49" s="10">
        <v>48</v>
      </c>
      <c r="B49" s="8"/>
      <c r="C49" s="8"/>
      <c r="D49" s="3"/>
      <c r="E49" s="8"/>
      <c r="F49" s="19"/>
      <c r="G49" s="8"/>
      <c r="H49" s="8"/>
    </row>
    <row r="50" spans="1:8">
      <c r="A50" s="10">
        <v>49</v>
      </c>
      <c r="B50" s="8"/>
      <c r="C50" s="8"/>
      <c r="D50" s="3"/>
      <c r="E50" s="8"/>
      <c r="F50" s="19"/>
      <c r="G50" s="8"/>
      <c r="H50" s="8"/>
    </row>
  </sheetData>
  <sheetProtection algorithmName="SHA-512" hashValue="IvKUVSzYb8AQTL0IuEdl/ZwDneLe/oMhtY+VjRXwEstdC4MMahxGW3bBvMZNkoLkU9p9ZavQ0hiEIQ44DCtF7w==" saltValue="KhtjdJmSys66v/soH0x8Sw==" spinCount="100000" sheet="1" objects="1" scenarios="1"/>
  <protectedRanges>
    <protectedRange sqref="A1:H50" name="Range1"/>
  </protectedRanges>
  <autoFilter ref="A1:F37" xr:uid="{00000000-0001-0000-0100-000000000000}"/>
  <sortState xmlns:xlrd2="http://schemas.microsoft.com/office/spreadsheetml/2017/richdata2" ref="B2:B31">
    <sortCondition ref="B2:B31"/>
  </sortState>
  <pageMargins left="0.7" right="0.7" top="0.75" bottom="0.75" header="0.3" footer="0.3"/>
  <pageSetup orientation="portrait" horizontalDpi="300" verticalDpi="300" r:id="rId1"/>
  <ignoredErrors>
    <ignoredError sqref="E4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15A-9D0C-4CCA-9B47-1F66A5D46495}">
  <dimension ref="A1:G75"/>
  <sheetViews>
    <sheetView topLeftCell="A51" workbookViewId="0">
      <selection activeCell="C59" sqref="C59"/>
    </sheetView>
  </sheetViews>
  <sheetFormatPr defaultColWidth="18.7109375" defaultRowHeight="15"/>
  <cols>
    <col min="1" max="1" width="14.7109375" style="14" customWidth="1"/>
    <col min="2" max="2" width="48.5703125" style="14" customWidth="1"/>
    <col min="3" max="3" width="51.140625" style="14" customWidth="1"/>
    <col min="4" max="4" width="18.7109375" style="14"/>
    <col min="5" max="5" width="21.85546875" style="14" bestFit="1" customWidth="1"/>
    <col min="6" max="16384" width="18.7109375" style="14"/>
  </cols>
  <sheetData>
    <row r="1" spans="1:7">
      <c r="A1" s="12" t="s">
        <v>399</v>
      </c>
      <c r="B1" s="13" t="s">
        <v>400</v>
      </c>
      <c r="C1" s="13" t="s">
        <v>401</v>
      </c>
      <c r="D1" s="13" t="s">
        <v>402</v>
      </c>
      <c r="E1" s="13" t="s">
        <v>403</v>
      </c>
      <c r="F1" s="13" t="s">
        <v>404</v>
      </c>
      <c r="G1" s="14" t="s">
        <v>405</v>
      </c>
    </row>
    <row r="2" spans="1:7">
      <c r="A2" s="15">
        <v>224318783</v>
      </c>
      <c r="B2" s="16" t="s">
        <v>406</v>
      </c>
      <c r="C2" s="16" t="s">
        <v>407</v>
      </c>
      <c r="D2" s="16" t="s">
        <v>408</v>
      </c>
      <c r="E2" s="17">
        <v>59201234566666</v>
      </c>
      <c r="F2" s="18" t="s">
        <v>409</v>
      </c>
    </row>
    <row r="3" spans="1:7">
      <c r="A3" s="15">
        <v>224318633</v>
      </c>
      <c r="B3" s="16" t="s">
        <v>410</v>
      </c>
      <c r="C3" s="16" t="s">
        <v>411</v>
      </c>
      <c r="D3" s="16" t="s">
        <v>408</v>
      </c>
      <c r="E3" s="17">
        <v>59201234555555</v>
      </c>
      <c r="F3" s="18" t="s">
        <v>409</v>
      </c>
    </row>
    <row r="4" spans="1:7">
      <c r="A4" s="15">
        <v>209265557</v>
      </c>
      <c r="B4" s="16" t="s">
        <v>412</v>
      </c>
      <c r="C4" s="16" t="s">
        <v>413</v>
      </c>
      <c r="D4" s="16" t="s">
        <v>408</v>
      </c>
      <c r="E4" s="17">
        <v>3232320002206</v>
      </c>
      <c r="F4" s="18" t="s">
        <v>414</v>
      </c>
    </row>
    <row r="5" spans="1:7">
      <c r="A5" s="15">
        <v>208483038</v>
      </c>
      <c r="B5" s="16" t="s">
        <v>415</v>
      </c>
      <c r="C5" s="16" t="s">
        <v>416</v>
      </c>
      <c r="D5" s="16" t="s">
        <v>417</v>
      </c>
      <c r="E5" s="17">
        <v>39505000833</v>
      </c>
      <c r="F5" s="18" t="s">
        <v>418</v>
      </c>
    </row>
    <row r="6" spans="1:7">
      <c r="A6" s="15">
        <v>205757767</v>
      </c>
      <c r="B6" s="16" t="s">
        <v>419</v>
      </c>
      <c r="C6" s="16" t="s">
        <v>420</v>
      </c>
      <c r="D6" s="16" t="s">
        <v>408</v>
      </c>
      <c r="E6" s="17">
        <v>50100344404312</v>
      </c>
      <c r="F6" s="18" t="s">
        <v>421</v>
      </c>
    </row>
    <row r="7" spans="1:7">
      <c r="A7" s="15">
        <v>205717538</v>
      </c>
      <c r="B7" s="16" t="s">
        <v>422</v>
      </c>
      <c r="C7" s="16" t="s">
        <v>423</v>
      </c>
      <c r="D7" s="16" t="s">
        <v>408</v>
      </c>
      <c r="E7" s="17">
        <v>29073000005723</v>
      </c>
      <c r="F7" s="18" t="s">
        <v>424</v>
      </c>
    </row>
    <row r="8" spans="1:7">
      <c r="A8" s="15">
        <v>197648608</v>
      </c>
      <c r="B8" s="16" t="s">
        <v>8</v>
      </c>
      <c r="C8" s="16" t="s">
        <v>425</v>
      </c>
      <c r="D8" s="16" t="s">
        <v>408</v>
      </c>
      <c r="E8" s="17">
        <v>105509444603574</v>
      </c>
      <c r="F8" s="18" t="s">
        <v>426</v>
      </c>
    </row>
    <row r="9" spans="1:7">
      <c r="A9" s="15">
        <v>197352497</v>
      </c>
      <c r="B9" s="16" t="s">
        <v>427</v>
      </c>
      <c r="C9" s="16" t="s">
        <v>428</v>
      </c>
      <c r="D9" s="16" t="s">
        <v>408</v>
      </c>
      <c r="E9" s="17">
        <v>29073000006096</v>
      </c>
      <c r="F9" s="18" t="s">
        <v>424</v>
      </c>
    </row>
    <row r="10" spans="1:7">
      <c r="A10" s="15">
        <v>192003385</v>
      </c>
      <c r="B10" s="16" t="s">
        <v>429</v>
      </c>
      <c r="C10" s="16" t="s">
        <v>430</v>
      </c>
      <c r="D10" s="16" t="s">
        <v>417</v>
      </c>
      <c r="E10" s="17">
        <v>168605500028</v>
      </c>
      <c r="F10" s="18" t="s">
        <v>418</v>
      </c>
    </row>
    <row r="11" spans="1:7">
      <c r="A11" s="15">
        <v>192004045</v>
      </c>
      <c r="B11" s="16" t="s">
        <v>431</v>
      </c>
      <c r="C11" s="16" t="s">
        <v>432</v>
      </c>
      <c r="D11" s="16" t="s">
        <v>408</v>
      </c>
      <c r="E11" s="17">
        <v>510909010079735</v>
      </c>
      <c r="F11" s="18" t="s">
        <v>433</v>
      </c>
    </row>
    <row r="12" spans="1:7">
      <c r="A12" s="15">
        <v>191465698</v>
      </c>
      <c r="B12" s="16" t="s">
        <v>434</v>
      </c>
      <c r="C12" s="16" t="s">
        <v>435</v>
      </c>
      <c r="D12" s="16" t="s">
        <v>417</v>
      </c>
      <c r="E12" s="17">
        <v>777705121160</v>
      </c>
      <c r="F12" s="18" t="s">
        <v>418</v>
      </c>
    </row>
    <row r="13" spans="1:7">
      <c r="A13" s="15">
        <v>191326894</v>
      </c>
      <c r="B13" s="16" t="s">
        <v>436</v>
      </c>
      <c r="C13" s="16" t="s">
        <v>437</v>
      </c>
      <c r="D13" s="16" t="s">
        <v>408</v>
      </c>
      <c r="E13" s="17">
        <v>29084000000005</v>
      </c>
      <c r="F13" s="18" t="s">
        <v>424</v>
      </c>
    </row>
    <row r="14" spans="1:7">
      <c r="A14" s="15">
        <v>188561258</v>
      </c>
      <c r="B14" s="16" t="s">
        <v>438</v>
      </c>
      <c r="C14" s="16" t="s">
        <v>439</v>
      </c>
      <c r="D14" s="16" t="s">
        <v>417</v>
      </c>
      <c r="E14" s="17">
        <v>188705000864</v>
      </c>
      <c r="F14" s="18" t="s">
        <v>418</v>
      </c>
    </row>
    <row r="15" spans="1:7">
      <c r="A15" s="15">
        <v>185422774</v>
      </c>
      <c r="B15" s="16" t="s">
        <v>440</v>
      </c>
      <c r="C15" s="16" t="s">
        <v>441</v>
      </c>
      <c r="D15" s="16" t="s">
        <v>408</v>
      </c>
      <c r="E15" s="17">
        <v>48202000002357</v>
      </c>
      <c r="F15" s="18" t="s">
        <v>442</v>
      </c>
    </row>
    <row r="16" spans="1:7">
      <c r="A16" s="15">
        <v>185345952</v>
      </c>
      <c r="B16" s="16" t="s">
        <v>443</v>
      </c>
      <c r="C16" s="16" t="s">
        <v>444</v>
      </c>
      <c r="D16" s="16" t="s">
        <v>408</v>
      </c>
      <c r="E16" s="17">
        <v>16110100086148</v>
      </c>
      <c r="F16" s="18" t="s">
        <v>445</v>
      </c>
    </row>
    <row r="17" spans="1:6">
      <c r="A17" s="15">
        <v>178494983</v>
      </c>
      <c r="B17" s="16" t="s">
        <v>446</v>
      </c>
      <c r="C17" s="16" t="s">
        <v>447</v>
      </c>
      <c r="D17" s="16" t="s">
        <v>408</v>
      </c>
      <c r="E17" s="17">
        <v>29083000003034</v>
      </c>
      <c r="F17" s="18" t="s">
        <v>424</v>
      </c>
    </row>
    <row r="18" spans="1:6">
      <c r="A18" s="15">
        <v>178085024</v>
      </c>
      <c r="B18" s="16" t="s">
        <v>448</v>
      </c>
      <c r="C18" s="16" t="s">
        <v>449</v>
      </c>
      <c r="D18" s="16" t="s">
        <v>417</v>
      </c>
      <c r="E18" s="17">
        <v>602705040717</v>
      </c>
      <c r="F18" s="18" t="s">
        <v>418</v>
      </c>
    </row>
    <row r="19" spans="1:6">
      <c r="A19" s="15">
        <v>174744866</v>
      </c>
      <c r="B19" s="16" t="s">
        <v>450</v>
      </c>
      <c r="C19" s="16" t="s">
        <v>451</v>
      </c>
      <c r="D19" s="16" t="s">
        <v>408</v>
      </c>
      <c r="E19" s="17">
        <v>20080200003752</v>
      </c>
      <c r="F19" s="18" t="s">
        <v>452</v>
      </c>
    </row>
    <row r="20" spans="1:6">
      <c r="A20" s="15">
        <v>173338102</v>
      </c>
      <c r="B20" s="16" t="s">
        <v>453</v>
      </c>
      <c r="C20" s="16" t="s">
        <v>454</v>
      </c>
      <c r="D20" s="16" t="s">
        <v>408</v>
      </c>
      <c r="E20" s="17">
        <v>4054261000071</v>
      </c>
      <c r="F20" s="18" t="s">
        <v>455</v>
      </c>
    </row>
    <row r="21" spans="1:6">
      <c r="A21" s="15">
        <v>173262341</v>
      </c>
      <c r="B21" s="16" t="s">
        <v>456</v>
      </c>
      <c r="C21" s="16" t="s">
        <v>457</v>
      </c>
      <c r="D21" s="16" t="s">
        <v>408</v>
      </c>
      <c r="E21" s="17">
        <v>29083000003134</v>
      </c>
      <c r="F21" s="18" t="s">
        <v>424</v>
      </c>
    </row>
    <row r="22" spans="1:6">
      <c r="A22" s="15">
        <v>173260931</v>
      </c>
      <c r="B22" s="16" t="s">
        <v>7</v>
      </c>
      <c r="C22" s="16" t="s">
        <v>458</v>
      </c>
      <c r="D22" s="16" t="s">
        <v>408</v>
      </c>
      <c r="E22" s="17">
        <v>50450600615</v>
      </c>
      <c r="F22" s="18" t="s">
        <v>459</v>
      </c>
    </row>
    <row r="23" spans="1:6">
      <c r="A23" s="15">
        <v>162902601</v>
      </c>
      <c r="B23" s="16" t="s">
        <v>460</v>
      </c>
      <c r="C23" s="16" t="s">
        <v>461</v>
      </c>
      <c r="D23" s="16" t="s">
        <v>417</v>
      </c>
      <c r="E23" s="17">
        <v>606605500252</v>
      </c>
      <c r="F23" s="18" t="s">
        <v>418</v>
      </c>
    </row>
    <row r="24" spans="1:6">
      <c r="A24" s="15">
        <v>158675052</v>
      </c>
      <c r="B24" s="16" t="s">
        <v>462</v>
      </c>
      <c r="C24" s="16" t="s">
        <v>463</v>
      </c>
      <c r="D24" s="16" t="s">
        <v>417</v>
      </c>
      <c r="E24" s="17">
        <v>602305028133</v>
      </c>
      <c r="F24" s="18" t="s">
        <v>418</v>
      </c>
    </row>
    <row r="25" spans="1:6">
      <c r="A25" s="15">
        <v>156381755</v>
      </c>
      <c r="B25" s="16" t="s">
        <v>464</v>
      </c>
      <c r="C25" s="16" t="s">
        <v>465</v>
      </c>
      <c r="D25" s="16" t="s">
        <v>408</v>
      </c>
      <c r="E25" s="17">
        <v>918020090976072</v>
      </c>
      <c r="F25" s="18" t="s">
        <v>466</v>
      </c>
    </row>
    <row r="26" spans="1:6">
      <c r="A26" s="15">
        <v>155282893</v>
      </c>
      <c r="B26" s="16" t="s">
        <v>467</v>
      </c>
      <c r="C26" s="16" t="s">
        <v>468</v>
      </c>
      <c r="D26" s="16" t="s">
        <v>408</v>
      </c>
      <c r="E26" s="17">
        <v>36203334630</v>
      </c>
      <c r="F26" s="18" t="s">
        <v>469</v>
      </c>
    </row>
    <row r="27" spans="1:6">
      <c r="A27" s="15">
        <v>224587926</v>
      </c>
      <c r="B27" s="16" t="s">
        <v>470</v>
      </c>
      <c r="C27" s="16" t="s">
        <v>471</v>
      </c>
      <c r="D27" s="16" t="s">
        <v>408</v>
      </c>
      <c r="E27" s="17">
        <v>606605028144</v>
      </c>
      <c r="F27" s="18" t="s">
        <v>418</v>
      </c>
    </row>
    <row r="28" spans="1:6">
      <c r="A28" s="15">
        <v>238909602</v>
      </c>
      <c r="B28" s="16" t="s">
        <v>472</v>
      </c>
      <c r="C28" s="16" t="s">
        <v>473</v>
      </c>
      <c r="D28" s="16" t="s">
        <v>408</v>
      </c>
      <c r="E28" s="17">
        <v>57500001201068</v>
      </c>
      <c r="F28" s="18" t="s">
        <v>409</v>
      </c>
    </row>
    <row r="29" spans="1:6">
      <c r="A29" s="15">
        <v>155044672</v>
      </c>
      <c r="B29" s="16" t="s">
        <v>474</v>
      </c>
      <c r="C29" s="16" t="s">
        <v>475</v>
      </c>
      <c r="D29" s="16" t="s">
        <v>408</v>
      </c>
      <c r="E29" s="17">
        <v>9383211122</v>
      </c>
      <c r="F29" s="18" t="s">
        <v>476</v>
      </c>
    </row>
    <row r="30" spans="1:6">
      <c r="A30" s="15">
        <v>155044531</v>
      </c>
      <c r="B30" s="16" t="s">
        <v>477</v>
      </c>
      <c r="C30" s="16" t="s">
        <v>478</v>
      </c>
      <c r="D30" s="16" t="s">
        <v>408</v>
      </c>
      <c r="E30" s="17">
        <v>50409979635</v>
      </c>
      <c r="F30" s="18" t="s">
        <v>479</v>
      </c>
    </row>
    <row r="31" spans="1:6">
      <c r="A31" s="15">
        <v>152467837</v>
      </c>
      <c r="B31" s="16" t="s">
        <v>480</v>
      </c>
      <c r="C31" s="16" t="s">
        <v>481</v>
      </c>
      <c r="D31" s="16" t="s">
        <v>408</v>
      </c>
      <c r="E31" s="17">
        <v>62326435158</v>
      </c>
      <c r="F31" s="18" t="s">
        <v>482</v>
      </c>
    </row>
    <row r="32" spans="1:6">
      <c r="A32" s="15">
        <v>152467836</v>
      </c>
      <c r="B32" s="16" t="s">
        <v>483</v>
      </c>
      <c r="C32" s="16" t="s">
        <v>484</v>
      </c>
      <c r="D32" s="16" t="s">
        <v>408</v>
      </c>
      <c r="E32" s="17">
        <v>10333074492</v>
      </c>
      <c r="F32" s="18" t="s">
        <v>485</v>
      </c>
    </row>
    <row r="33" spans="1:6">
      <c r="A33" s="15">
        <v>152467830</v>
      </c>
      <c r="B33" s="16" t="s">
        <v>486</v>
      </c>
      <c r="C33" s="16" t="s">
        <v>487</v>
      </c>
      <c r="D33" s="16" t="s">
        <v>408</v>
      </c>
      <c r="E33" s="17">
        <v>34623091159</v>
      </c>
      <c r="F33" s="18" t="s">
        <v>488</v>
      </c>
    </row>
    <row r="34" spans="1:6">
      <c r="A34" s="15">
        <v>152467829</v>
      </c>
      <c r="B34" s="16" t="s">
        <v>489</v>
      </c>
      <c r="C34" s="16" t="s">
        <v>490</v>
      </c>
      <c r="D34" s="16" t="s">
        <v>408</v>
      </c>
      <c r="E34" s="17">
        <v>718104000115728</v>
      </c>
      <c r="F34" s="18" t="s">
        <v>491</v>
      </c>
    </row>
    <row r="35" spans="1:6">
      <c r="A35" s="15">
        <v>152467827</v>
      </c>
      <c r="B35" s="16" t="s">
        <v>492</v>
      </c>
      <c r="C35" s="16" t="s">
        <v>493</v>
      </c>
      <c r="D35" s="16" t="s">
        <v>408</v>
      </c>
      <c r="E35" s="17">
        <v>358360000000154</v>
      </c>
      <c r="F35" s="18" t="s">
        <v>494</v>
      </c>
    </row>
    <row r="36" spans="1:6">
      <c r="A36" s="15">
        <v>152467824</v>
      </c>
      <c r="B36" s="16" t="s">
        <v>495</v>
      </c>
      <c r="C36" s="16" t="s">
        <v>496</v>
      </c>
      <c r="D36" s="16" t="s">
        <v>408</v>
      </c>
      <c r="E36" s="17">
        <v>936201002194</v>
      </c>
      <c r="F36" s="18" t="s">
        <v>497</v>
      </c>
    </row>
    <row r="37" spans="1:6">
      <c r="A37" s="15">
        <v>152467821</v>
      </c>
      <c r="B37" s="16" t="s">
        <v>498</v>
      </c>
      <c r="C37" s="16" t="s">
        <v>499</v>
      </c>
      <c r="D37" s="16" t="s">
        <v>408</v>
      </c>
      <c r="E37" s="17">
        <v>105150050800913</v>
      </c>
      <c r="F37" s="18" t="s">
        <v>426</v>
      </c>
    </row>
    <row r="38" spans="1:6">
      <c r="A38" s="15">
        <v>152467820</v>
      </c>
      <c r="B38" s="16" t="s">
        <v>500</v>
      </c>
      <c r="C38" s="16" t="s">
        <v>501</v>
      </c>
      <c r="D38" s="16" t="s">
        <v>408</v>
      </c>
      <c r="E38" s="17">
        <v>4417000100000100</v>
      </c>
      <c r="F38" s="18" t="s">
        <v>502</v>
      </c>
    </row>
    <row r="39" spans="1:6">
      <c r="A39" s="15">
        <v>152467819</v>
      </c>
      <c r="B39" s="16" t="s">
        <v>503</v>
      </c>
      <c r="C39" s="16" t="s">
        <v>504</v>
      </c>
      <c r="D39" s="16" t="s">
        <v>408</v>
      </c>
      <c r="E39" s="17">
        <v>131801000001325</v>
      </c>
      <c r="F39" s="18" t="s">
        <v>505</v>
      </c>
    </row>
    <row r="40" spans="1:6">
      <c r="A40" s="15">
        <v>152467818</v>
      </c>
      <c r="B40" s="16" t="s">
        <v>364</v>
      </c>
      <c r="C40" s="16" t="s">
        <v>506</v>
      </c>
      <c r="D40" s="16" t="s">
        <v>408</v>
      </c>
      <c r="E40" s="17">
        <v>50200049003978</v>
      </c>
      <c r="F40" s="18" t="s">
        <v>409</v>
      </c>
    </row>
    <row r="41" spans="1:6">
      <c r="A41" s="15">
        <v>152467817</v>
      </c>
      <c r="B41" s="16" t="s">
        <v>507</v>
      </c>
      <c r="C41" s="16" t="s">
        <v>508</v>
      </c>
      <c r="D41" s="16" t="s">
        <v>408</v>
      </c>
      <c r="E41" s="17">
        <v>71109000009738</v>
      </c>
      <c r="F41" s="18" t="s">
        <v>433</v>
      </c>
    </row>
    <row r="42" spans="1:6">
      <c r="A42" s="15">
        <v>152467795</v>
      </c>
      <c r="B42" s="16" t="s">
        <v>509</v>
      </c>
      <c r="C42" s="16" t="s">
        <v>510</v>
      </c>
      <c r="D42" s="16" t="s">
        <v>408</v>
      </c>
      <c r="E42" s="17">
        <v>2916101012442</v>
      </c>
      <c r="F42" s="18" t="s">
        <v>511</v>
      </c>
    </row>
    <row r="43" spans="1:6">
      <c r="A43" s="15">
        <v>152467790</v>
      </c>
      <c r="B43" s="16" t="s">
        <v>512</v>
      </c>
      <c r="C43" s="16" t="s">
        <v>513</v>
      </c>
      <c r="D43" s="16" t="s">
        <v>408</v>
      </c>
      <c r="E43" s="17">
        <v>31439610702</v>
      </c>
      <c r="F43" s="18" t="s">
        <v>514</v>
      </c>
    </row>
    <row r="44" spans="1:6">
      <c r="A44" s="15">
        <v>152467789</v>
      </c>
      <c r="B44" s="16" t="s">
        <v>515</v>
      </c>
      <c r="C44" s="16" t="s">
        <v>516</v>
      </c>
      <c r="D44" s="16" t="s">
        <v>408</v>
      </c>
      <c r="E44" s="17">
        <v>14415500000546</v>
      </c>
      <c r="F44" s="18" t="s">
        <v>517</v>
      </c>
    </row>
    <row r="45" spans="1:6">
      <c r="A45" s="15">
        <v>152467785</v>
      </c>
      <c r="B45" s="16" t="s">
        <v>518</v>
      </c>
      <c r="C45" s="16" t="s">
        <v>519</v>
      </c>
      <c r="D45" s="16" t="s">
        <v>408</v>
      </c>
      <c r="E45" s="17">
        <v>489150050800102</v>
      </c>
      <c r="F45" s="18" t="s">
        <v>520</v>
      </c>
    </row>
    <row r="46" spans="1:6">
      <c r="A46" s="15">
        <v>152467782</v>
      </c>
      <c r="B46" s="16" t="s">
        <v>521</v>
      </c>
      <c r="C46" s="16" t="s">
        <v>522</v>
      </c>
      <c r="D46" s="16" t="s">
        <v>408</v>
      </c>
      <c r="E46" s="17">
        <v>1138115000009750</v>
      </c>
      <c r="F46" s="18" t="s">
        <v>523</v>
      </c>
    </row>
    <row r="47" spans="1:6">
      <c r="A47" s="15">
        <v>152467779</v>
      </c>
      <c r="B47" s="16" t="s">
        <v>524</v>
      </c>
      <c r="C47" s="16" t="s">
        <v>525</v>
      </c>
      <c r="D47" s="16" t="s">
        <v>408</v>
      </c>
      <c r="E47" s="17">
        <v>10943886172</v>
      </c>
      <c r="F47" s="18" t="s">
        <v>526</v>
      </c>
    </row>
    <row r="48" spans="1:6">
      <c r="A48" s="15">
        <v>257076727</v>
      </c>
      <c r="B48" s="16" t="s">
        <v>527</v>
      </c>
      <c r="C48" s="16" t="s">
        <v>528</v>
      </c>
      <c r="D48" s="16" t="s">
        <v>408</v>
      </c>
      <c r="E48" s="17">
        <v>510909010259579</v>
      </c>
      <c r="F48" s="18" t="s">
        <v>433</v>
      </c>
    </row>
    <row r="49" spans="1:6">
      <c r="A49" s="15">
        <v>152467775</v>
      </c>
      <c r="B49" s="16" t="s">
        <v>529</v>
      </c>
      <c r="C49" s="16" t="s">
        <v>530</v>
      </c>
      <c r="D49" s="16" t="s">
        <v>408</v>
      </c>
      <c r="E49" s="17">
        <v>29083000003086</v>
      </c>
      <c r="F49" s="18" t="s">
        <v>424</v>
      </c>
    </row>
    <row r="50" spans="1:6">
      <c r="A50" s="15">
        <v>152467773</v>
      </c>
      <c r="B50" s="16" t="s">
        <v>531</v>
      </c>
      <c r="C50" s="16" t="s">
        <v>532</v>
      </c>
      <c r="D50" s="16" t="s">
        <v>408</v>
      </c>
      <c r="E50" s="17">
        <v>433301000037667</v>
      </c>
      <c r="F50" s="18" t="s">
        <v>533</v>
      </c>
    </row>
    <row r="51" spans="1:6">
      <c r="A51" s="15">
        <v>152427273</v>
      </c>
      <c r="B51" s="16" t="s">
        <v>534</v>
      </c>
      <c r="C51" s="16" t="s">
        <v>535</v>
      </c>
      <c r="D51" s="16" t="s">
        <v>408</v>
      </c>
      <c r="E51" s="17">
        <v>1614298000000010</v>
      </c>
      <c r="F51" s="18" t="s">
        <v>536</v>
      </c>
    </row>
    <row r="52" spans="1:6">
      <c r="A52" s="15">
        <v>152427272</v>
      </c>
      <c r="B52" s="16" t="s">
        <v>537</v>
      </c>
      <c r="C52" s="16" t="s">
        <v>538</v>
      </c>
      <c r="D52" s="16" t="s">
        <v>408</v>
      </c>
      <c r="E52" s="17">
        <v>718104000042307</v>
      </c>
      <c r="F52" s="18" t="s">
        <v>491</v>
      </c>
    </row>
    <row r="53" spans="1:6">
      <c r="A53" s="15">
        <v>152427271</v>
      </c>
      <c r="B53" s="16" t="s">
        <v>539</v>
      </c>
      <c r="C53" s="16" t="s">
        <v>540</v>
      </c>
      <c r="D53" s="16" t="s">
        <v>408</v>
      </c>
      <c r="E53" s="17">
        <v>11920200012868</v>
      </c>
      <c r="F53" s="18" t="s">
        <v>541</v>
      </c>
    </row>
    <row r="54" spans="1:6">
      <c r="A54" s="24">
        <v>152427270</v>
      </c>
      <c r="B54" s="25" t="s">
        <v>542</v>
      </c>
      <c r="C54" s="25" t="s">
        <v>543</v>
      </c>
      <c r="D54" s="25" t="s">
        <v>408</v>
      </c>
      <c r="E54" s="26">
        <v>71120000149432</v>
      </c>
      <c r="F54" s="27" t="s">
        <v>433</v>
      </c>
    </row>
    <row r="55" spans="1:6">
      <c r="A55" s="32">
        <v>152427269</v>
      </c>
      <c r="B55" s="33" t="s">
        <v>544</v>
      </c>
      <c r="C55" s="32" t="s">
        <v>545</v>
      </c>
      <c r="D55" s="32" t="s">
        <v>408</v>
      </c>
      <c r="E55" s="34">
        <v>50100171059771</v>
      </c>
      <c r="F55" s="35" t="s">
        <v>546</v>
      </c>
    </row>
    <row r="56" spans="1:6">
      <c r="A56" s="28">
        <v>228434359</v>
      </c>
      <c r="B56" s="28" t="s">
        <v>547</v>
      </c>
      <c r="C56" s="28" t="s">
        <v>548</v>
      </c>
      <c r="D56" s="28" t="s">
        <v>408</v>
      </c>
      <c r="E56" s="29">
        <v>149710011000001</v>
      </c>
      <c r="F56" s="30" t="s">
        <v>549</v>
      </c>
    </row>
    <row r="57" spans="1:6">
      <c r="A57" s="28">
        <v>236590758</v>
      </c>
      <c r="B57" s="28" t="s">
        <v>56</v>
      </c>
      <c r="C57" s="28" t="s">
        <v>550</v>
      </c>
      <c r="D57" s="28" t="s">
        <v>408</v>
      </c>
      <c r="E57" s="29">
        <v>2722261000012</v>
      </c>
      <c r="F57" s="30" t="s">
        <v>551</v>
      </c>
    </row>
    <row r="58" spans="1:6">
      <c r="A58" s="31">
        <v>281248233</v>
      </c>
      <c r="B58" s="31" t="s">
        <v>552</v>
      </c>
      <c r="C58" s="31" t="s">
        <v>553</v>
      </c>
      <c r="D58" s="28" t="s">
        <v>408</v>
      </c>
      <c r="E58" s="29">
        <v>57500000629538</v>
      </c>
      <c r="F58" s="31" t="s">
        <v>554</v>
      </c>
    </row>
    <row r="59" spans="1:6">
      <c r="A59" s="23"/>
      <c r="B59" s="23"/>
      <c r="C59" s="23"/>
      <c r="D59" s="23"/>
      <c r="E59" s="23"/>
      <c r="F59" s="23"/>
    </row>
    <row r="60" spans="1:6">
      <c r="A60" s="23"/>
      <c r="B60" s="23"/>
      <c r="C60" s="23"/>
      <c r="D60" s="23"/>
      <c r="E60" s="23"/>
      <c r="F60" s="23"/>
    </row>
    <row r="61" spans="1:6">
      <c r="A61" s="23"/>
      <c r="B61" s="23"/>
      <c r="C61" s="23"/>
      <c r="D61" s="23"/>
      <c r="E61" s="23"/>
      <c r="F61" s="23"/>
    </row>
    <row r="62" spans="1:6">
      <c r="A62" s="23"/>
      <c r="B62" s="23"/>
      <c r="C62" s="23"/>
      <c r="D62" s="23"/>
      <c r="E62" s="23"/>
      <c r="F62" s="23"/>
    </row>
    <row r="63" spans="1:6">
      <c r="A63" s="23"/>
      <c r="B63" s="23"/>
      <c r="C63" s="23"/>
      <c r="D63" s="23"/>
      <c r="E63" s="23"/>
      <c r="F63" s="23"/>
    </row>
    <row r="64" spans="1:6">
      <c r="A64" s="23"/>
      <c r="B64" s="23"/>
      <c r="C64" s="23"/>
      <c r="D64" s="23"/>
      <c r="E64" s="23"/>
      <c r="F64" s="23"/>
    </row>
    <row r="65" spans="1:6">
      <c r="A65" s="23"/>
      <c r="B65" s="23"/>
      <c r="C65" s="23"/>
      <c r="D65" s="23"/>
      <c r="E65" s="23"/>
      <c r="F65" s="23"/>
    </row>
    <row r="66" spans="1:6">
      <c r="A66" s="23"/>
      <c r="B66" s="23"/>
      <c r="C66" s="23"/>
      <c r="D66" s="23"/>
      <c r="E66" s="23"/>
      <c r="F66" s="23"/>
    </row>
    <row r="67" spans="1:6">
      <c r="A67" s="23"/>
      <c r="B67" s="23"/>
      <c r="C67" s="23"/>
      <c r="D67" s="23"/>
      <c r="E67" s="23"/>
      <c r="F67" s="23"/>
    </row>
    <row r="68" spans="1:6">
      <c r="A68" s="23"/>
      <c r="B68" s="23"/>
      <c r="C68" s="23"/>
      <c r="D68" s="23"/>
      <c r="E68" s="23"/>
      <c r="F68" s="23"/>
    </row>
    <row r="69" spans="1:6">
      <c r="A69" s="23"/>
      <c r="B69" s="23"/>
      <c r="C69" s="23"/>
      <c r="D69" s="23"/>
      <c r="E69" s="23"/>
      <c r="F69" s="23"/>
    </row>
    <row r="70" spans="1:6">
      <c r="A70" s="23"/>
      <c r="B70" s="23"/>
      <c r="C70" s="23"/>
      <c r="D70" s="23"/>
      <c r="E70" s="23"/>
      <c r="F70" s="23"/>
    </row>
    <row r="71" spans="1:6">
      <c r="A71" s="23"/>
      <c r="B71" s="23"/>
      <c r="C71" s="23"/>
      <c r="D71" s="23"/>
      <c r="E71" s="23"/>
      <c r="F71" s="23"/>
    </row>
    <row r="72" spans="1:6">
      <c r="A72" s="23"/>
      <c r="B72" s="23"/>
      <c r="C72" s="23"/>
      <c r="D72" s="23"/>
      <c r="E72" s="23"/>
      <c r="F72" s="23"/>
    </row>
    <row r="73" spans="1:6">
      <c r="A73" s="23"/>
      <c r="B73" s="23"/>
      <c r="C73" s="23"/>
      <c r="D73" s="23"/>
      <c r="E73" s="23"/>
      <c r="F73" s="23"/>
    </row>
    <row r="74" spans="1:6">
      <c r="A74" s="23"/>
      <c r="B74" s="23"/>
      <c r="C74" s="23"/>
      <c r="D74" s="23"/>
      <c r="E74" s="23"/>
      <c r="F74" s="23"/>
    </row>
    <row r="75" spans="1:6">
      <c r="A75" s="23"/>
      <c r="B75" s="23"/>
      <c r="C75" s="23"/>
      <c r="D75" s="23"/>
      <c r="E75" s="23"/>
      <c r="F75" s="23"/>
    </row>
  </sheetData>
  <autoFilter ref="A1:G1" xr:uid="{5E9CE15A-9D0C-4CCA-9B47-1F66A5D4649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2906-B9D5-4881-A15E-179711C384E0}">
  <dimension ref="C2:L19"/>
  <sheetViews>
    <sheetView workbookViewId="0">
      <selection activeCell="F22" sqref="F22"/>
    </sheetView>
  </sheetViews>
  <sheetFormatPr defaultRowHeight="15"/>
  <cols>
    <col min="3" max="3" width="23.85546875" bestFit="1" customWidth="1"/>
    <col min="4" max="4" width="23.85546875" customWidth="1"/>
    <col min="5" max="5" width="18.28515625" bestFit="1" customWidth="1"/>
    <col min="6" max="6" width="10.85546875" bestFit="1" customWidth="1"/>
    <col min="12" max="12" width="23.7109375" bestFit="1" customWidth="1"/>
    <col min="13" max="13" width="16.42578125" customWidth="1"/>
    <col min="14" max="14" width="15.7109375" customWidth="1"/>
  </cols>
  <sheetData>
    <row r="2" spans="3:9" ht="18.75">
      <c r="C2" s="48" t="s">
        <v>3</v>
      </c>
      <c r="D2" s="22">
        <f t="shared" ref="D2:D15" si="0">VLOOKUP(C2,VENDOR_MASTER_LATEST,3,FALSE)</f>
        <v>185422774</v>
      </c>
      <c r="E2" s="53">
        <v>6560</v>
      </c>
      <c r="F2" s="63">
        <v>152467795</v>
      </c>
      <c r="G2" s="63">
        <v>1419</v>
      </c>
      <c r="H2" t="b">
        <f>D2=F2</f>
        <v>0</v>
      </c>
      <c r="I2" t="b">
        <f>E2=G2</f>
        <v>0</v>
      </c>
    </row>
    <row r="3" spans="3:9" ht="18.75">
      <c r="C3" s="48" t="s">
        <v>47</v>
      </c>
      <c r="D3" s="22">
        <f t="shared" si="0"/>
        <v>224587926</v>
      </c>
      <c r="E3" s="53">
        <v>6943</v>
      </c>
      <c r="F3" s="64">
        <v>173262341</v>
      </c>
      <c r="G3" s="64">
        <v>2371</v>
      </c>
      <c r="H3" t="b">
        <f t="shared" ref="H3:H4" si="1">D3=F3</f>
        <v>0</v>
      </c>
      <c r="I3" t="b">
        <f t="shared" ref="I3:I11" si="2">E3=G3</f>
        <v>0</v>
      </c>
    </row>
    <row r="4" spans="3:9" ht="18.75">
      <c r="C4" s="48" t="s">
        <v>305</v>
      </c>
      <c r="D4" s="22">
        <f t="shared" si="0"/>
        <v>152467782</v>
      </c>
      <c r="E4" s="53">
        <v>5625</v>
      </c>
      <c r="F4" s="64">
        <v>152467775</v>
      </c>
      <c r="G4" s="64">
        <v>11720</v>
      </c>
      <c r="H4" t="b">
        <f t="shared" si="1"/>
        <v>0</v>
      </c>
      <c r="I4" t="b">
        <f t="shared" si="2"/>
        <v>0</v>
      </c>
    </row>
    <row r="5" spans="3:9" ht="18.75">
      <c r="C5" s="48" t="s">
        <v>4</v>
      </c>
      <c r="D5" s="22">
        <f t="shared" si="0"/>
        <v>224318633</v>
      </c>
      <c r="E5" s="53">
        <v>2266</v>
      </c>
      <c r="F5" s="64">
        <v>152427270</v>
      </c>
      <c r="G5" s="64">
        <v>41753</v>
      </c>
      <c r="H5" t="b">
        <f t="shared" ref="H5:H11" si="3">TRIM(D5)=TRIM(F5)</f>
        <v>0</v>
      </c>
      <c r="I5" t="b">
        <f t="shared" si="2"/>
        <v>0</v>
      </c>
    </row>
    <row r="6" spans="3:9" ht="18.75">
      <c r="C6" s="48" t="s">
        <v>6</v>
      </c>
      <c r="D6" s="22">
        <f t="shared" si="0"/>
        <v>178494983</v>
      </c>
      <c r="E6" s="53">
        <v>22865</v>
      </c>
      <c r="F6" s="64">
        <v>158675052</v>
      </c>
      <c r="G6" s="64">
        <v>9264</v>
      </c>
      <c r="H6" t="b">
        <f t="shared" si="3"/>
        <v>0</v>
      </c>
      <c r="I6" t="b">
        <f t="shared" si="2"/>
        <v>0</v>
      </c>
    </row>
    <row r="7" spans="3:9" ht="18.75">
      <c r="C7" s="48" t="s">
        <v>327</v>
      </c>
      <c r="D7" s="22">
        <f t="shared" si="0"/>
        <v>238909602</v>
      </c>
      <c r="E7" s="49">
        <v>3447</v>
      </c>
      <c r="F7" s="64">
        <v>238909602</v>
      </c>
      <c r="G7" s="64">
        <v>22050</v>
      </c>
      <c r="H7" t="b">
        <f t="shared" si="3"/>
        <v>1</v>
      </c>
      <c r="I7" t="b">
        <f t="shared" si="2"/>
        <v>0</v>
      </c>
    </row>
    <row r="8" spans="3:9" ht="18.75">
      <c r="C8" s="48" t="s">
        <v>9</v>
      </c>
      <c r="D8" s="22">
        <f t="shared" si="0"/>
        <v>158675052</v>
      </c>
      <c r="E8" s="53">
        <v>6395</v>
      </c>
      <c r="F8" s="64">
        <v>178494983</v>
      </c>
      <c r="G8" s="64">
        <v>46064</v>
      </c>
      <c r="H8" t="b">
        <f t="shared" si="3"/>
        <v>0</v>
      </c>
      <c r="I8" t="b">
        <f t="shared" si="2"/>
        <v>0</v>
      </c>
    </row>
    <row r="9" spans="3:9" ht="18.75">
      <c r="C9" s="48" t="s">
        <v>10</v>
      </c>
      <c r="D9" s="22">
        <f t="shared" si="0"/>
        <v>152427270</v>
      </c>
      <c r="E9" s="53">
        <v>104641</v>
      </c>
      <c r="F9" s="64">
        <v>224318633</v>
      </c>
      <c r="G9" s="64">
        <v>53727</v>
      </c>
      <c r="H9" t="b">
        <f t="shared" si="3"/>
        <v>0</v>
      </c>
      <c r="I9" t="b">
        <f t="shared" si="2"/>
        <v>0</v>
      </c>
    </row>
    <row r="10" spans="3:9" ht="18.75">
      <c r="C10" s="48" t="s">
        <v>11</v>
      </c>
      <c r="D10" s="22">
        <f t="shared" si="0"/>
        <v>152467775</v>
      </c>
      <c r="E10" s="53">
        <v>17112</v>
      </c>
      <c r="F10" s="64">
        <v>152467782</v>
      </c>
      <c r="G10" s="64">
        <v>2651</v>
      </c>
      <c r="H10" t="b">
        <f t="shared" si="3"/>
        <v>0</v>
      </c>
      <c r="I10" t="b">
        <f t="shared" si="2"/>
        <v>0</v>
      </c>
    </row>
    <row r="11" spans="3:9" ht="18.75">
      <c r="C11" s="48" t="s">
        <v>51</v>
      </c>
      <c r="D11" s="22">
        <f t="shared" si="0"/>
        <v>173262341</v>
      </c>
      <c r="E11" s="53">
        <v>4633</v>
      </c>
      <c r="F11" s="64">
        <v>224587926</v>
      </c>
      <c r="G11" s="55"/>
      <c r="H11" t="b">
        <f t="shared" si="3"/>
        <v>0</v>
      </c>
      <c r="I11" t="b">
        <f t="shared" si="2"/>
        <v>0</v>
      </c>
    </row>
    <row r="12" spans="3:9" ht="18.75">
      <c r="C12" s="48" t="s">
        <v>12</v>
      </c>
      <c r="D12" s="22">
        <f t="shared" si="0"/>
        <v>152467795</v>
      </c>
      <c r="E12" s="53">
        <v>18056</v>
      </c>
      <c r="F12" s="64">
        <v>185422774</v>
      </c>
      <c r="G12" s="55"/>
      <c r="H12" t="b">
        <f t="shared" ref="H12:H15" si="4">TRIM(D12)=TRIM(F12)</f>
        <v>0</v>
      </c>
      <c r="I12" t="b">
        <f t="shared" ref="I12:I15" si="5">E12=G12</f>
        <v>0</v>
      </c>
    </row>
    <row r="13" spans="3:9" ht="18.75">
      <c r="C13" s="48"/>
      <c r="D13" s="22" t="e">
        <f t="shared" si="0"/>
        <v>#N/A</v>
      </c>
      <c r="E13" s="53"/>
      <c r="F13" s="3"/>
      <c r="G13" s="55"/>
      <c r="H13" t="e">
        <f t="shared" si="4"/>
        <v>#N/A</v>
      </c>
      <c r="I13" t="b">
        <f t="shared" si="5"/>
        <v>1</v>
      </c>
    </row>
    <row r="14" spans="3:9" ht="18.75">
      <c r="C14" s="48"/>
      <c r="D14" s="22" t="e">
        <f t="shared" si="0"/>
        <v>#N/A</v>
      </c>
      <c r="E14" s="53"/>
      <c r="F14" s="3"/>
      <c r="G14" s="55"/>
      <c r="H14" t="e">
        <f t="shared" si="4"/>
        <v>#N/A</v>
      </c>
      <c r="I14" t="b">
        <f t="shared" si="5"/>
        <v>1</v>
      </c>
    </row>
    <row r="15" spans="3:9" ht="18.75">
      <c r="C15" s="48"/>
      <c r="D15" s="22" t="e">
        <f t="shared" si="0"/>
        <v>#N/A</v>
      </c>
      <c r="E15" s="53"/>
      <c r="F15" s="3"/>
      <c r="G15" s="55"/>
      <c r="H15" t="e">
        <f t="shared" si="4"/>
        <v>#N/A</v>
      </c>
      <c r="I15" t="b">
        <f t="shared" si="5"/>
        <v>1</v>
      </c>
    </row>
    <row r="19" spans="12:12">
      <c r="L19">
        <f>((30-21)/30)*15000</f>
        <v>4500</v>
      </c>
    </row>
  </sheetData>
  <protectedRanges>
    <protectedRange sqref="F12" name="Range1_24"/>
    <protectedRange sqref="F13" name="Range1_25"/>
    <protectedRange sqref="F14" name="Range1_26"/>
    <protectedRange sqref="F15" name="Range1_27"/>
    <protectedRange sqref="F2" name="Range1_1"/>
    <protectedRange sqref="F3" name="Range1_2"/>
    <protectedRange sqref="F4" name="Range1_4"/>
    <protectedRange sqref="F5" name="Range1_6"/>
    <protectedRange sqref="F6" name="Range1_7"/>
    <protectedRange sqref="F7" name="Range1_8"/>
    <protectedRange sqref="F8" name="Range1_9"/>
    <protectedRange sqref="F9" name="Range1_10"/>
    <protectedRange sqref="F10" name="Range1_11"/>
    <protectedRange sqref="F11" name="Range1_13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/>
  <cp:revision/>
  <dcterms:created xsi:type="dcterms:W3CDTF">2022-05-03T14:17:51Z</dcterms:created>
  <dcterms:modified xsi:type="dcterms:W3CDTF">2026-03-16T01:31:48Z</dcterms:modified>
  <cp:category/>
  <cp:contentStatus/>
</cp:coreProperties>
</file>