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https://d.docs.live.net/143b6e31b9e74e02/Desktop/Projects/pharmacy-inventory/"/>
    </mc:Choice>
  </mc:AlternateContent>
  <xr:revisionPtr revIDLastSave="70" documentId="8_{D1382BBA-B1A8-4DE8-BBB0-5D989084E897}" xr6:coauthVersionLast="47" xr6:coauthVersionMax="47" xr10:uidLastSave="{913CADFA-820D-4C13-8BC1-1AE8FAD95096}"/>
  <bookViews>
    <workbookView xWindow="-120" yWindow="-120" windowWidth="29040" windowHeight="15720" firstSheet="3" activeTab="3" xr2:uid="{C7561392-CDEB-42C0-8E44-3E4BD5494C58}"/>
  </bookViews>
  <sheets>
    <sheet name="Supplier Type" sheetId="7" r:id="rId1"/>
    <sheet name="Status" sheetId="9" r:id="rId2"/>
    <sheet name="Supplier Master" sheetId="1" r:id="rId3"/>
    <sheet name="Supplier Details" sheetId="10" r:id="rId4"/>
    <sheet name="Supplier Bank Details" sheetId="2" r:id="rId5"/>
    <sheet name="Invoice Details" sheetId="3" r:id="rId6"/>
    <sheet name="Invoice Line Items " sheetId="4" r:id="rId7"/>
    <sheet name="Sheet3" sheetId="8" r:id="rId8"/>
    <sheet name="Sheet2" sheetId="6" r:id="rId9"/>
    <sheet name="Sheet1" sheetId="5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5" l="1"/>
</calcChain>
</file>

<file path=xl/sharedStrings.xml><?xml version="1.0" encoding="utf-8"?>
<sst xmlns="http://schemas.openxmlformats.org/spreadsheetml/2006/main" count="212" uniqueCount="135">
  <si>
    <t>Supplier Type Id</t>
  </si>
  <si>
    <t>Supplier Type</t>
  </si>
  <si>
    <t>Pharmacy</t>
  </si>
  <si>
    <t>Printer</t>
  </si>
  <si>
    <t xml:space="preserve">IT </t>
  </si>
  <si>
    <t xml:space="preserve">Diagnostics </t>
  </si>
  <si>
    <t>Status Id</t>
  </si>
  <si>
    <t>Status</t>
  </si>
  <si>
    <t>Active</t>
  </si>
  <si>
    <t xml:space="preserve">In Active </t>
  </si>
  <si>
    <t>Supplier Id</t>
  </si>
  <si>
    <t>Supplier Name</t>
  </si>
  <si>
    <t>AKG Enterprises</t>
  </si>
  <si>
    <t>Alpha Technologies</t>
  </si>
  <si>
    <t>Ambal Press</t>
  </si>
  <si>
    <t>Bharath Pharma</t>
  </si>
  <si>
    <t>GJ Multiclave (India) Pvt.Ltd</t>
  </si>
  <si>
    <t>D.B.Enterprises</t>
  </si>
  <si>
    <t xml:space="preserve">DOS Agency </t>
  </si>
  <si>
    <t>Jaya Distributors</t>
  </si>
  <si>
    <t>Jaya Maruthi Offset</t>
  </si>
  <si>
    <t>Kanagavalli Pharma</t>
  </si>
  <si>
    <t>Krishco Medical</t>
  </si>
  <si>
    <t>Lakshmi Pharma</t>
  </si>
  <si>
    <t>Medigreen Surgicals</t>
  </si>
  <si>
    <t>Moral Pharma</t>
  </si>
  <si>
    <t xml:space="preserve">Palepu Pharma Distributors </t>
  </si>
  <si>
    <t>Peony Pharmaceutical</t>
  </si>
  <si>
    <t>Address Line 1</t>
  </si>
  <si>
    <t>Address Line 2</t>
  </si>
  <si>
    <t>City</t>
  </si>
  <si>
    <t>State</t>
  </si>
  <si>
    <t xml:space="preserve">Pin Code </t>
  </si>
  <si>
    <t>Phone Number</t>
  </si>
  <si>
    <t xml:space="preserve">Landline Number </t>
  </si>
  <si>
    <t>Email Id</t>
  </si>
  <si>
    <t xml:space="preserve">Contact Name </t>
  </si>
  <si>
    <t>GSTN</t>
  </si>
  <si>
    <t xml:space="preserve">Remarks </t>
  </si>
  <si>
    <t xml:space="preserve">Supplier Bank Id </t>
  </si>
  <si>
    <t xml:space="preserve">Supplier Account Name </t>
  </si>
  <si>
    <t>Supplier Bank (Account Number)</t>
  </si>
  <si>
    <t xml:space="preserve">Supplier Bank (IFSC Code) </t>
  </si>
  <si>
    <t>Bank Reference Number</t>
  </si>
  <si>
    <t>Remarks</t>
  </si>
  <si>
    <t>HDFC0000879</t>
  </si>
  <si>
    <t>Alpha Technology</t>
  </si>
  <si>
    <t>CNRB0004054</t>
  </si>
  <si>
    <t>Ambal press</t>
  </si>
  <si>
    <t>CNRB0002916</t>
  </si>
  <si>
    <t>BHARATH  PHARMA DISTRIBUTORS</t>
  </si>
  <si>
    <t>SBIN0002288</t>
  </si>
  <si>
    <t>GJ MULTICLAVE (INDIA) PVT LTD</t>
  </si>
  <si>
    <t>ICIC0000011</t>
  </si>
  <si>
    <t>D.B. ENTERPRISES</t>
  </si>
  <si>
    <t>CIUB0000071</t>
  </si>
  <si>
    <t>Dos Agency</t>
  </si>
  <si>
    <t>SIBL0000029</t>
  </si>
  <si>
    <t>Jaya distributors</t>
  </si>
  <si>
    <t>SRI JAYAMARUTHI OFFSET</t>
  </si>
  <si>
    <t>KANAGAVALLI PHARMA</t>
  </si>
  <si>
    <t>Krishco medical products p ltd</t>
  </si>
  <si>
    <t>LAKSHMI PHARMA</t>
  </si>
  <si>
    <t>KARB0000441</t>
  </si>
  <si>
    <t>ICIC0006066</t>
  </si>
  <si>
    <t>IDIB000K559</t>
  </si>
  <si>
    <t>PALEPU PHARMA PRIVATE LIMITED</t>
  </si>
  <si>
    <t>PEONY PHARMACEUTICAL</t>
  </si>
  <si>
    <t>FDRL0002008</t>
  </si>
  <si>
    <t>Invoice Id</t>
  </si>
  <si>
    <t xml:space="preserve">Invoice Date </t>
  </si>
  <si>
    <t xml:space="preserve">Invoice Reference Number </t>
  </si>
  <si>
    <t>Invoice Value</t>
  </si>
  <si>
    <t>GST</t>
  </si>
  <si>
    <t>Invoice Line Item Id</t>
  </si>
  <si>
    <t xml:space="preserve">Line Item </t>
  </si>
  <si>
    <t>Quantity</t>
  </si>
  <si>
    <t xml:space="preserve">Price </t>
  </si>
  <si>
    <t xml:space="preserve">Discount </t>
  </si>
  <si>
    <t xml:space="preserve">Expiry </t>
  </si>
  <si>
    <t>Field Name</t>
  </si>
  <si>
    <t>Value</t>
  </si>
  <si>
    <t>Source</t>
  </si>
  <si>
    <t>Invoice Number</t>
  </si>
  <si>
    <t>VIS 19372</t>
  </si>
  <si>
    <t>Invoice Date</t>
  </si>
  <si>
    <t>Seller Name</t>
  </si>
  <si>
    <t>Seller GSTIN</t>
  </si>
  <si>
    <t>33AADFK5149B1ZS</t>
  </si>
  <si>
    <t>Customer Name</t>
  </si>
  <si>
    <t>DR.ANGAMMAL.DM.D(OG)</t>
  </si>
  <si>
    <t>Customer Code</t>
  </si>
  <si>
    <t>Customer Address</t>
  </si>
  <si>
    <t>NO.6, VAIGUNDA PERUMAL SANNATHI ST, KANCHIPURAM 631501</t>
  </si>
  <si>
    <t>Bill Type</t>
  </si>
  <si>
    <t>Credit Bill</t>
  </si>
  <si>
    <t>Goods Value</t>
  </si>
  <si>
    <t>Total Discount</t>
  </si>
  <si>
    <t>552.77 (3%)</t>
  </si>
  <si>
    <t>GST Amount (Total)</t>
  </si>
  <si>
    <t>CGST (2.5%)</t>
  </si>
  <si>
    <t>SGST (2.5%)</t>
  </si>
  <si>
    <t>Round Off</t>
  </si>
  <si>
    <t>Net Amount</t>
  </si>
  <si>
    <t>Amount in Words</t>
  </si>
  <si>
    <t>EIGHTEEN THOUSAND SEVEN HUNDRED SIXTY SIX ONLY</t>
  </si>
  <si>
    <t>Due Date</t>
  </si>
  <si>
    <t>Product Description</t>
  </si>
  <si>
    <t>Batch No</t>
  </si>
  <si>
    <t>Expiry</t>
  </si>
  <si>
    <t>Qty</t>
  </si>
  <si>
    <t>Free</t>
  </si>
  <si>
    <t>Rate</t>
  </si>
  <si>
    <t>MRP</t>
  </si>
  <si>
    <t>Amount</t>
  </si>
  <si>
    <t>HSN</t>
  </si>
  <si>
    <t>NOSIC TAB</t>
  </si>
  <si>
    <t>-</t>
  </si>
  <si>
    <t>MAHACEF 200 TAB</t>
  </si>
  <si>
    <t>COAKY058</t>
  </si>
  <si>
    <t>COAKY062</t>
  </si>
  <si>
    <t>VOMIKIND 4 MD TAB</t>
  </si>
  <si>
    <t>D45Y021-</t>
  </si>
  <si>
    <t>SYSFOL TAB</t>
  </si>
  <si>
    <t>HSL121025</t>
  </si>
  <si>
    <t>OMEZ 20 CAP</t>
  </si>
  <si>
    <t>E2502439</t>
  </si>
  <si>
    <t>GLYCOMET SR 500 TAB</t>
  </si>
  <si>
    <t>CYNOMYCIN 100 CAP</t>
  </si>
  <si>
    <t>CYNOMYCIN 50 CAP</t>
  </si>
  <si>
    <t>OLMEZEST AM TAB</t>
  </si>
  <si>
    <t>SIG0522A</t>
  </si>
  <si>
    <t>MOMATE F CREAM</t>
  </si>
  <si>
    <t>CLEAR UTI ORAL SUSP</t>
  </si>
  <si>
    <t>CUSST25031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</si>
</sst>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/>
    <xf numFmtId="0" fontId="0" fillId="0" borderId="3" xfId="0" applyBorder="1"/>
    <xf numFmtId="0" fontId="2" fillId="2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" fontId="0" fillId="0" borderId="3" xfId="0" applyNumberFormat="1" applyBorder="1"/>
    <xf numFmtId="0" fontId="1" fillId="0" borderId="2" xfId="0" applyFont="1" applyBorder="1" applyAlignment="1">
      <alignment horizontal="center"/>
    </xf>
    <xf numFmtId="0" fontId="3" fillId="0" borderId="4" xfId="0" applyFont="1" applyBorder="1" applyAlignment="1">
      <alignment readingOrder="1"/>
    </xf>
    <xf numFmtId="0" fontId="4" fillId="0" borderId="4" xfId="0" applyFont="1" applyBorder="1" applyAlignment="1">
      <alignment readingOrder="1"/>
    </xf>
    <xf numFmtId="17" fontId="4" fillId="0" borderId="4" xfId="0" applyNumberFormat="1" applyFont="1" applyBorder="1" applyAlignment="1">
      <alignment readingOrder="1"/>
    </xf>
    <xf numFmtId="0" fontId="4" fillId="0" borderId="4" xfId="0" quotePrefix="1" applyFont="1" applyBorder="1" applyAlignment="1">
      <alignment readingOrder="1"/>
    </xf>
    <xf numFmtId="0" fontId="3" fillId="0" borderId="4" xfId="0" applyFont="1" applyBorder="1" applyAlignment="1">
      <alignment wrapText="1" readingOrder="1"/>
    </xf>
    <xf numFmtId="0" fontId="4" fillId="0" borderId="4" xfId="0" applyFont="1" applyBorder="1" applyAlignment="1">
      <alignment wrapText="1" readingOrder="1"/>
    </xf>
    <xf numFmtId="14" fontId="4" fillId="0" borderId="4" xfId="0" applyNumberFormat="1" applyFont="1" applyBorder="1" applyAlignment="1">
      <alignment wrapText="1" readingOrder="1"/>
    </xf>
    <xf numFmtId="4" fontId="4" fillId="0" borderId="4" xfId="0" applyNumberFormat="1" applyFont="1" applyBorder="1" applyAlignment="1">
      <alignment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DB0E1-F270-4A7D-96DF-70C74F139C78}">
  <dimension ref="A1:B5"/>
  <sheetViews>
    <sheetView workbookViewId="0">
      <selection sqref="A1:B5"/>
    </sheetView>
  </sheetViews>
  <sheetFormatPr defaultRowHeight="15"/>
  <cols>
    <col min="1" max="1" width="14.28515625" bestFit="1" customWidth="1"/>
    <col min="2" max="2" width="12.28515625" bestFit="1" customWidth="1"/>
  </cols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2C2FA-C026-45E0-A326-B82F493AC864}">
  <dimension ref="A1:B3"/>
  <sheetViews>
    <sheetView workbookViewId="0">
      <selection activeCell="K23" sqref="K23"/>
    </sheetView>
  </sheetViews>
  <sheetFormatPr defaultRowHeight="15"/>
  <sheetData>
    <row r="1" spans="1:2">
      <c r="A1" t="s">
        <v>6</v>
      </c>
      <c r="B1" t="s">
        <v>7</v>
      </c>
    </row>
    <row r="2" spans="1:2">
      <c r="A2">
        <v>1</v>
      </c>
      <c r="B2" t="s">
        <v>8</v>
      </c>
    </row>
    <row r="3" spans="1:2">
      <c r="A3">
        <v>2</v>
      </c>
      <c r="B3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6E2ED-0CEB-4628-A621-EF7444F7C2C3}">
  <dimension ref="A1:D17"/>
  <sheetViews>
    <sheetView workbookViewId="0">
      <selection activeCell="E28" sqref="E28"/>
    </sheetView>
  </sheetViews>
  <sheetFormatPr defaultRowHeight="15"/>
  <cols>
    <col min="1" max="1" width="10.42578125" bestFit="1" customWidth="1"/>
    <col min="2" max="2" width="20.28515625" customWidth="1"/>
    <col min="3" max="3" width="18.7109375" customWidth="1"/>
    <col min="4" max="4" width="28.42578125" customWidth="1"/>
  </cols>
  <sheetData>
    <row r="1" spans="1:4">
      <c r="A1" t="s">
        <v>10</v>
      </c>
      <c r="B1" t="s">
        <v>11</v>
      </c>
      <c r="C1" t="s">
        <v>0</v>
      </c>
      <c r="D1" t="s">
        <v>6</v>
      </c>
    </row>
    <row r="2" spans="1:4">
      <c r="A2" s="1">
        <v>1</v>
      </c>
      <c r="B2" s="2" t="s">
        <v>12</v>
      </c>
      <c r="C2" s="2" t="s">
        <v>2</v>
      </c>
      <c r="D2" t="s">
        <v>8</v>
      </c>
    </row>
    <row r="3" spans="1:4">
      <c r="A3" s="1">
        <v>2</v>
      </c>
      <c r="B3" s="2" t="s">
        <v>13</v>
      </c>
      <c r="C3" s="2" t="s">
        <v>2</v>
      </c>
      <c r="D3" t="s">
        <v>8</v>
      </c>
    </row>
    <row r="4" spans="1:4">
      <c r="A4" s="1">
        <v>3</v>
      </c>
      <c r="B4" s="2" t="s">
        <v>14</v>
      </c>
      <c r="C4" s="2" t="s">
        <v>3</v>
      </c>
      <c r="D4" t="s">
        <v>8</v>
      </c>
    </row>
    <row r="5" spans="1:4">
      <c r="A5" s="1">
        <v>4</v>
      </c>
      <c r="B5" s="2" t="s">
        <v>15</v>
      </c>
      <c r="C5" s="2" t="s">
        <v>2</v>
      </c>
      <c r="D5" t="s">
        <v>8</v>
      </c>
    </row>
    <row r="6" spans="1:4">
      <c r="A6" s="1">
        <v>5</v>
      </c>
      <c r="B6" s="2" t="s">
        <v>16</v>
      </c>
      <c r="C6" s="2" t="s">
        <v>2</v>
      </c>
      <c r="D6" t="s">
        <v>8</v>
      </c>
    </row>
    <row r="7" spans="1:4">
      <c r="A7" s="1">
        <v>6</v>
      </c>
      <c r="B7" s="2" t="s">
        <v>17</v>
      </c>
      <c r="C7" s="2" t="s">
        <v>2</v>
      </c>
      <c r="D7" t="s">
        <v>8</v>
      </c>
    </row>
    <row r="8" spans="1:4">
      <c r="A8" s="1">
        <v>7</v>
      </c>
      <c r="B8" s="2" t="s">
        <v>18</v>
      </c>
      <c r="C8" s="2" t="s">
        <v>2</v>
      </c>
      <c r="D8" t="s">
        <v>8</v>
      </c>
    </row>
    <row r="9" spans="1:4">
      <c r="A9" s="1">
        <v>8</v>
      </c>
      <c r="B9" s="2" t="s">
        <v>19</v>
      </c>
      <c r="C9" s="2" t="s">
        <v>3</v>
      </c>
      <c r="D9" t="s">
        <v>8</v>
      </c>
    </row>
    <row r="10" spans="1:4">
      <c r="A10" s="1">
        <v>9</v>
      </c>
      <c r="B10" s="2" t="s">
        <v>20</v>
      </c>
      <c r="C10" s="2" t="s">
        <v>3</v>
      </c>
      <c r="D10" t="s">
        <v>8</v>
      </c>
    </row>
    <row r="11" spans="1:4">
      <c r="A11" s="1">
        <v>10</v>
      </c>
      <c r="B11" s="2" t="s">
        <v>21</v>
      </c>
      <c r="C11" s="2" t="s">
        <v>2</v>
      </c>
      <c r="D11" t="s">
        <v>8</v>
      </c>
    </row>
    <row r="12" spans="1:4">
      <c r="A12" s="1">
        <v>11</v>
      </c>
      <c r="B12" s="2" t="s">
        <v>22</v>
      </c>
      <c r="C12" s="2" t="s">
        <v>2</v>
      </c>
      <c r="D12" t="s">
        <v>8</v>
      </c>
    </row>
    <row r="13" spans="1:4">
      <c r="A13" s="1">
        <v>12</v>
      </c>
      <c r="B13" s="2" t="s">
        <v>23</v>
      </c>
      <c r="C13" s="2" t="s">
        <v>2</v>
      </c>
      <c r="D13" t="s">
        <v>8</v>
      </c>
    </row>
    <row r="14" spans="1:4">
      <c r="A14" s="1">
        <v>13</v>
      </c>
      <c r="B14" s="2" t="s">
        <v>24</v>
      </c>
      <c r="C14" s="2" t="s">
        <v>2</v>
      </c>
      <c r="D14" t="s">
        <v>8</v>
      </c>
    </row>
    <row r="15" spans="1:4">
      <c r="A15" s="1">
        <v>14</v>
      </c>
      <c r="B15" s="2" t="s">
        <v>25</v>
      </c>
      <c r="C15" s="2" t="s">
        <v>2</v>
      </c>
      <c r="D15" t="s">
        <v>8</v>
      </c>
    </row>
    <row r="16" spans="1:4">
      <c r="A16" s="1">
        <v>15</v>
      </c>
      <c r="B16" s="2" t="s">
        <v>26</v>
      </c>
      <c r="C16" s="2" t="s">
        <v>2</v>
      </c>
      <c r="D16" t="s">
        <v>8</v>
      </c>
    </row>
    <row r="17" spans="1:4">
      <c r="A17" s="1">
        <v>16</v>
      </c>
      <c r="B17" s="2" t="s">
        <v>27</v>
      </c>
      <c r="C17" s="2" t="s">
        <v>2</v>
      </c>
      <c r="D17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F6242-CA80-42E3-80A1-D44E870274AD}">
  <dimension ref="A1:L1"/>
  <sheetViews>
    <sheetView tabSelected="1" workbookViewId="0">
      <selection activeCell="F12" sqref="F12"/>
    </sheetView>
  </sheetViews>
  <sheetFormatPr defaultRowHeight="15"/>
  <cols>
    <col min="1" max="1" width="12.28515625" customWidth="1"/>
    <col min="2" max="10" width="17.7109375" customWidth="1"/>
  </cols>
  <sheetData>
    <row r="1" spans="1:12">
      <c r="A1" t="s">
        <v>10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C185B-FC3C-4E55-8D27-43A549F805C9}">
  <dimension ref="A1:H19"/>
  <sheetViews>
    <sheetView workbookViewId="0">
      <selection activeCell="A29" sqref="A29"/>
    </sheetView>
  </sheetViews>
  <sheetFormatPr defaultRowHeight="15"/>
  <cols>
    <col min="1" max="1" width="16.7109375" customWidth="1"/>
    <col min="2" max="2" width="14.28515625" customWidth="1"/>
    <col min="3" max="3" width="26.7109375" customWidth="1"/>
    <col min="4" max="4" width="30" customWidth="1"/>
    <col min="5" max="6" width="29.5703125" customWidth="1"/>
    <col min="7" max="7" width="17.7109375" customWidth="1"/>
    <col min="8" max="8" width="16.28515625" customWidth="1"/>
  </cols>
  <sheetData>
    <row r="1" spans="1:8">
      <c r="A1" s="3" t="s">
        <v>39</v>
      </c>
      <c r="B1" s="3" t="s">
        <v>10</v>
      </c>
      <c r="C1" s="4" t="s">
        <v>40</v>
      </c>
      <c r="D1" s="4" t="s">
        <v>41</v>
      </c>
      <c r="E1" s="4" t="s">
        <v>42</v>
      </c>
      <c r="F1" s="4" t="s">
        <v>43</v>
      </c>
      <c r="G1" s="4" t="s">
        <v>44</v>
      </c>
      <c r="H1" s="4" t="s">
        <v>6</v>
      </c>
    </row>
    <row r="2" spans="1:8">
      <c r="A2" s="3">
        <v>1</v>
      </c>
      <c r="B2" s="5">
        <v>1</v>
      </c>
      <c r="C2" s="3" t="s">
        <v>12</v>
      </c>
      <c r="D2" s="6">
        <v>50200049003978</v>
      </c>
      <c r="E2" s="3" t="s">
        <v>45</v>
      </c>
      <c r="F2" s="7">
        <v>152467818</v>
      </c>
      <c r="G2" s="3"/>
      <c r="H2" s="3" t="s">
        <v>8</v>
      </c>
    </row>
    <row r="3" spans="1:8">
      <c r="A3" s="3">
        <v>2</v>
      </c>
      <c r="B3" s="5">
        <v>2</v>
      </c>
      <c r="C3" s="3" t="s">
        <v>46</v>
      </c>
      <c r="D3" s="6">
        <v>4054261000071</v>
      </c>
      <c r="E3" s="3" t="s">
        <v>47</v>
      </c>
      <c r="F3" s="7">
        <v>173338102</v>
      </c>
      <c r="G3" s="3"/>
      <c r="H3" s="3" t="s">
        <v>8</v>
      </c>
    </row>
    <row r="4" spans="1:8">
      <c r="A4" s="3">
        <v>3</v>
      </c>
      <c r="B4" s="5">
        <v>3</v>
      </c>
      <c r="C4" s="3" t="s">
        <v>48</v>
      </c>
      <c r="D4" s="6">
        <v>2916101012442</v>
      </c>
      <c r="E4" s="3" t="s">
        <v>49</v>
      </c>
      <c r="F4" s="7">
        <v>152467795</v>
      </c>
      <c r="G4" s="3"/>
      <c r="H4" s="3" t="s">
        <v>8</v>
      </c>
    </row>
    <row r="5" spans="1:8">
      <c r="A5" s="3">
        <v>4</v>
      </c>
      <c r="B5" s="5">
        <v>4</v>
      </c>
      <c r="C5" s="3" t="s">
        <v>50</v>
      </c>
      <c r="D5" s="6">
        <v>36203334630</v>
      </c>
      <c r="E5" s="3" t="s">
        <v>51</v>
      </c>
      <c r="F5" s="7">
        <v>155282893</v>
      </c>
      <c r="G5" s="3"/>
      <c r="H5" s="3" t="s">
        <v>8</v>
      </c>
    </row>
    <row r="6" spans="1:8">
      <c r="A6" s="3">
        <v>5</v>
      </c>
      <c r="B6" s="5">
        <v>5</v>
      </c>
      <c r="C6" s="3" t="s">
        <v>52</v>
      </c>
      <c r="D6" s="6">
        <v>602705040717</v>
      </c>
      <c r="E6" s="3" t="s">
        <v>53</v>
      </c>
      <c r="F6" s="7">
        <v>178085024</v>
      </c>
      <c r="G6" s="3"/>
      <c r="H6" s="3" t="s">
        <v>8</v>
      </c>
    </row>
    <row r="7" spans="1:8">
      <c r="A7" s="3">
        <v>6</v>
      </c>
      <c r="B7" s="5">
        <v>6</v>
      </c>
      <c r="C7" s="3" t="s">
        <v>54</v>
      </c>
      <c r="D7" s="6">
        <v>510909010259579</v>
      </c>
      <c r="E7" s="3" t="s">
        <v>55</v>
      </c>
      <c r="F7" s="7">
        <v>257076727</v>
      </c>
      <c r="G7" s="3"/>
      <c r="H7" s="3" t="s">
        <v>8</v>
      </c>
    </row>
    <row r="8" spans="1:8">
      <c r="A8" s="3">
        <v>7</v>
      </c>
      <c r="B8" s="5">
        <v>7</v>
      </c>
      <c r="C8" s="3" t="s">
        <v>56</v>
      </c>
      <c r="D8" s="6">
        <v>29083000003134</v>
      </c>
      <c r="E8" s="3" t="s">
        <v>57</v>
      </c>
      <c r="F8" s="7">
        <v>173262341</v>
      </c>
      <c r="G8" s="3"/>
      <c r="H8" s="3" t="s">
        <v>8</v>
      </c>
    </row>
    <row r="9" spans="1:8">
      <c r="A9" s="3">
        <v>8</v>
      </c>
      <c r="B9" s="5">
        <v>8</v>
      </c>
      <c r="C9" s="3" t="s">
        <v>58</v>
      </c>
      <c r="D9" s="6">
        <v>29083000003086</v>
      </c>
      <c r="E9" s="3" t="s">
        <v>57</v>
      </c>
      <c r="F9" s="7">
        <v>152467775</v>
      </c>
      <c r="G9" s="3"/>
      <c r="H9" s="3" t="s">
        <v>8</v>
      </c>
    </row>
    <row r="10" spans="1:8">
      <c r="A10" s="3">
        <v>9</v>
      </c>
      <c r="B10" s="5">
        <v>9</v>
      </c>
      <c r="C10" s="3" t="s">
        <v>59</v>
      </c>
      <c r="D10" s="6">
        <v>606605500252</v>
      </c>
      <c r="E10" s="3" t="s">
        <v>53</v>
      </c>
      <c r="F10" s="7">
        <v>162902601</v>
      </c>
      <c r="G10" s="3"/>
      <c r="H10" s="3" t="s">
        <v>8</v>
      </c>
    </row>
    <row r="11" spans="1:8">
      <c r="A11" s="3">
        <v>10</v>
      </c>
      <c r="B11" s="5">
        <v>10</v>
      </c>
      <c r="C11" s="3" t="s">
        <v>60</v>
      </c>
      <c r="D11" s="6">
        <v>71120000149432</v>
      </c>
      <c r="E11" s="3" t="s">
        <v>55</v>
      </c>
      <c r="F11" s="7">
        <v>152427270</v>
      </c>
      <c r="G11" s="3"/>
      <c r="H11" s="3" t="s">
        <v>8</v>
      </c>
    </row>
    <row r="12" spans="1:8">
      <c r="A12" s="3">
        <v>11</v>
      </c>
      <c r="B12" s="5">
        <v>11</v>
      </c>
      <c r="C12" s="3" t="s">
        <v>61</v>
      </c>
      <c r="D12" s="6">
        <v>602305028133</v>
      </c>
      <c r="E12" s="3" t="s">
        <v>53</v>
      </c>
      <c r="F12" s="7">
        <v>158675052</v>
      </c>
      <c r="G12" s="3"/>
      <c r="H12" s="3" t="s">
        <v>8</v>
      </c>
    </row>
    <row r="13" spans="1:8">
      <c r="A13" s="3">
        <v>12</v>
      </c>
      <c r="B13" s="5">
        <v>12</v>
      </c>
      <c r="C13" s="3" t="s">
        <v>62</v>
      </c>
      <c r="D13" s="6">
        <v>4417000100000100</v>
      </c>
      <c r="E13" s="3" t="s">
        <v>63</v>
      </c>
      <c r="F13" s="7">
        <v>152467820</v>
      </c>
      <c r="G13" s="3"/>
      <c r="H13" s="3" t="s">
        <v>8</v>
      </c>
    </row>
    <row r="14" spans="1:8">
      <c r="A14" s="3">
        <v>13</v>
      </c>
      <c r="B14" s="5">
        <v>13</v>
      </c>
      <c r="C14" s="3" t="s">
        <v>24</v>
      </c>
      <c r="D14" s="6">
        <v>606605028684</v>
      </c>
      <c r="E14" s="3" t="s">
        <v>64</v>
      </c>
      <c r="F14" s="7">
        <v>197648608</v>
      </c>
      <c r="G14" s="3"/>
      <c r="H14" s="3" t="s">
        <v>8</v>
      </c>
    </row>
    <row r="15" spans="1:8">
      <c r="A15" s="3">
        <v>14</v>
      </c>
      <c r="B15" s="5">
        <v>14</v>
      </c>
      <c r="C15" s="3" t="s">
        <v>25</v>
      </c>
      <c r="D15" s="6">
        <v>50450600615</v>
      </c>
      <c r="E15" s="3" t="s">
        <v>65</v>
      </c>
      <c r="F15" s="7">
        <v>173260931</v>
      </c>
      <c r="G15" s="3"/>
      <c r="H15" s="3" t="s">
        <v>8</v>
      </c>
    </row>
    <row r="16" spans="1:8">
      <c r="A16" s="3">
        <v>15</v>
      </c>
      <c r="B16" s="5">
        <v>15</v>
      </c>
      <c r="C16" s="3" t="s">
        <v>66</v>
      </c>
      <c r="D16" s="6">
        <v>57500001201068</v>
      </c>
      <c r="E16" s="3" t="s">
        <v>45</v>
      </c>
      <c r="F16" s="7">
        <v>238909602</v>
      </c>
      <c r="G16" s="3"/>
      <c r="H16" s="3" t="s">
        <v>8</v>
      </c>
    </row>
    <row r="17" spans="1:8">
      <c r="A17" s="3">
        <v>16</v>
      </c>
      <c r="B17" s="5">
        <v>16</v>
      </c>
      <c r="C17" s="3" t="s">
        <v>67</v>
      </c>
      <c r="D17" s="6">
        <v>20080200003752</v>
      </c>
      <c r="E17" s="3" t="s">
        <v>68</v>
      </c>
      <c r="F17" s="7">
        <v>174744866</v>
      </c>
      <c r="G17" s="3"/>
      <c r="H17" s="3" t="s">
        <v>8</v>
      </c>
    </row>
    <row r="18" spans="1:8">
      <c r="A18" s="3"/>
      <c r="B18" s="3"/>
      <c r="C18" s="3"/>
      <c r="D18" s="3"/>
      <c r="E18" s="3"/>
      <c r="F18" s="3"/>
      <c r="G18" s="3"/>
      <c r="H18" s="3"/>
    </row>
    <row r="19" spans="1:8">
      <c r="A19" s="3"/>
      <c r="B19" s="3"/>
      <c r="C19" s="3"/>
      <c r="D19" s="3"/>
      <c r="E19" s="3"/>
      <c r="F19" s="3"/>
      <c r="G19" s="3"/>
      <c r="H19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097B2-C466-4E46-9243-58978E316ADA}">
  <dimension ref="A1:F1"/>
  <sheetViews>
    <sheetView workbookViewId="0">
      <selection activeCell="A2" sqref="A2"/>
    </sheetView>
  </sheetViews>
  <sheetFormatPr defaultRowHeight="15"/>
  <cols>
    <col min="1" max="1" width="11" customWidth="1"/>
    <col min="2" max="2" width="12.140625" bestFit="1" customWidth="1"/>
    <col min="3" max="3" width="10.42578125" bestFit="1" customWidth="1"/>
    <col min="4" max="4" width="24.7109375" bestFit="1" customWidth="1"/>
    <col min="5" max="5" width="21.28515625" customWidth="1"/>
  </cols>
  <sheetData>
    <row r="1" spans="1:6">
      <c r="A1" t="s">
        <v>69</v>
      </c>
      <c r="B1" t="s">
        <v>70</v>
      </c>
      <c r="C1" t="s">
        <v>10</v>
      </c>
      <c r="D1" t="s">
        <v>71</v>
      </c>
      <c r="E1" t="s">
        <v>72</v>
      </c>
      <c r="F1" t="s">
        <v>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03E91-6684-4056-A6D8-F51233393790}">
  <dimension ref="A1:H1"/>
  <sheetViews>
    <sheetView workbookViewId="0">
      <selection activeCell="D20" sqref="D20"/>
    </sheetView>
  </sheetViews>
  <sheetFormatPr defaultRowHeight="15"/>
  <cols>
    <col min="1" max="1" width="21.28515625" customWidth="1"/>
    <col min="2" max="2" width="11.140625" customWidth="1"/>
    <col min="3" max="3" width="14.42578125" customWidth="1"/>
    <col min="4" max="4" width="11.28515625" customWidth="1"/>
    <col min="5" max="5" width="10.7109375" customWidth="1"/>
    <col min="7" max="7" width="14.7109375" customWidth="1"/>
  </cols>
  <sheetData>
    <row r="1" spans="1:8">
      <c r="A1" t="s">
        <v>74</v>
      </c>
      <c r="B1" t="s">
        <v>69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A3BB5-BA81-4862-BB77-8B34367EECE5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96D34-F6EC-4873-80C4-6F881C8E71CB}">
  <dimension ref="A1:C18"/>
  <sheetViews>
    <sheetView workbookViewId="0">
      <selection activeCell="B5" sqref="B5"/>
    </sheetView>
  </sheetViews>
  <sheetFormatPr defaultRowHeight="15"/>
  <cols>
    <col min="1" max="1" width="21" bestFit="1" customWidth="1"/>
    <col min="2" max="2" width="36.5703125" bestFit="1" customWidth="1"/>
  </cols>
  <sheetData>
    <row r="1" spans="1:3" ht="16.5">
      <c r="A1" s="8" t="s">
        <v>80</v>
      </c>
      <c r="B1" s="12" t="s">
        <v>81</v>
      </c>
      <c r="C1" s="8" t="s">
        <v>82</v>
      </c>
    </row>
    <row r="2" spans="1:3" ht="16.5">
      <c r="A2" s="8" t="s">
        <v>83</v>
      </c>
      <c r="B2" s="13" t="s">
        <v>84</v>
      </c>
      <c r="C2" s="9"/>
    </row>
    <row r="3" spans="1:3">
      <c r="A3" s="8" t="s">
        <v>85</v>
      </c>
      <c r="B3" s="14">
        <v>46081</v>
      </c>
      <c r="C3" s="9"/>
    </row>
    <row r="4" spans="1:3" ht="16.5">
      <c r="A4" s="8" t="s">
        <v>86</v>
      </c>
      <c r="B4" s="13" t="s">
        <v>60</v>
      </c>
      <c r="C4" s="9"/>
    </row>
    <row r="5" spans="1:3" ht="16.5">
      <c r="A5" s="8" t="s">
        <v>87</v>
      </c>
      <c r="B5" s="13" t="s">
        <v>88</v>
      </c>
      <c r="C5" s="9"/>
    </row>
    <row r="6" spans="1:3" ht="16.5">
      <c r="A6" s="8" t="s">
        <v>89</v>
      </c>
      <c r="B6" s="13" t="s">
        <v>90</v>
      </c>
      <c r="C6" s="9"/>
    </row>
    <row r="7" spans="1:3">
      <c r="A7" s="8" t="s">
        <v>91</v>
      </c>
      <c r="B7" s="13">
        <v>1306</v>
      </c>
      <c r="C7" s="9"/>
    </row>
    <row r="8" spans="1:3" ht="50.25">
      <c r="A8" s="8" t="s">
        <v>92</v>
      </c>
      <c r="B8" s="13" t="s">
        <v>93</v>
      </c>
      <c r="C8" s="9"/>
    </row>
    <row r="9" spans="1:3" ht="16.5">
      <c r="A9" s="8" t="s">
        <v>94</v>
      </c>
      <c r="B9" s="13" t="s">
        <v>95</v>
      </c>
      <c r="C9" s="9"/>
    </row>
    <row r="10" spans="1:3">
      <c r="A10" s="8" t="s">
        <v>96</v>
      </c>
      <c r="B10" s="15">
        <v>18425.18</v>
      </c>
      <c r="C10" s="9"/>
    </row>
    <row r="11" spans="1:3" ht="16.5">
      <c r="A11" s="8" t="s">
        <v>97</v>
      </c>
      <c r="B11" s="13" t="s">
        <v>98</v>
      </c>
      <c r="C11" s="9"/>
    </row>
    <row r="12" spans="1:3">
      <c r="A12" s="8" t="s">
        <v>99</v>
      </c>
      <c r="B12" s="13">
        <v>893.62</v>
      </c>
      <c r="C12" s="9"/>
    </row>
    <row r="13" spans="1:3">
      <c r="A13" s="8" t="s">
        <v>100</v>
      </c>
      <c r="B13" s="13">
        <v>446.81</v>
      </c>
      <c r="C13" s="9"/>
    </row>
    <row r="14" spans="1:3">
      <c r="A14" s="8" t="s">
        <v>101</v>
      </c>
      <c r="B14" s="13">
        <v>446.81</v>
      </c>
      <c r="C14" s="9"/>
    </row>
    <row r="15" spans="1:3">
      <c r="A15" s="8" t="s">
        <v>102</v>
      </c>
      <c r="B15" s="13">
        <v>-0.03</v>
      </c>
      <c r="C15" s="9"/>
    </row>
    <row r="16" spans="1:3">
      <c r="A16" s="8" t="s">
        <v>103</v>
      </c>
      <c r="B16" s="15">
        <v>18766</v>
      </c>
      <c r="C16" s="9"/>
    </row>
    <row r="17" spans="1:3" ht="33.75">
      <c r="A17" s="8" t="s">
        <v>104</v>
      </c>
      <c r="B17" s="13" t="s">
        <v>105</v>
      </c>
      <c r="C17" s="9"/>
    </row>
    <row r="18" spans="1:3">
      <c r="A18" s="8" t="s">
        <v>106</v>
      </c>
      <c r="B18" s="14">
        <v>46081</v>
      </c>
      <c r="C18" s="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D82DF-C88E-46DB-B3B0-B290C58B4BB8}">
  <dimension ref="A1:L14"/>
  <sheetViews>
    <sheetView workbookViewId="0">
      <selection activeCell="H19" sqref="H19"/>
    </sheetView>
  </sheetViews>
  <sheetFormatPr defaultRowHeight="15"/>
  <cols>
    <col min="1" max="1" width="24.42578125" bestFit="1" customWidth="1"/>
    <col min="2" max="2" width="24.42578125" hidden="1" customWidth="1"/>
    <col min="3" max="3" width="12.85546875" bestFit="1" customWidth="1"/>
    <col min="10" max="10" width="10.140625" bestFit="1" customWidth="1"/>
  </cols>
  <sheetData>
    <row r="1" spans="1:12">
      <c r="A1" s="8" t="s">
        <v>107</v>
      </c>
      <c r="B1" s="8"/>
      <c r="C1" s="8" t="s">
        <v>108</v>
      </c>
      <c r="D1" s="8" t="s">
        <v>109</v>
      </c>
      <c r="E1" s="8" t="s">
        <v>110</v>
      </c>
      <c r="F1" s="8" t="s">
        <v>111</v>
      </c>
      <c r="G1" s="8" t="s">
        <v>112</v>
      </c>
      <c r="H1" s="8" t="s">
        <v>113</v>
      </c>
      <c r="I1" s="8" t="s">
        <v>114</v>
      </c>
      <c r="J1" s="8" t="s">
        <v>115</v>
      </c>
    </row>
    <row r="2" spans="1:12">
      <c r="A2" s="8" t="s">
        <v>116</v>
      </c>
      <c r="B2" s="8"/>
      <c r="C2" s="9">
        <v>25070440</v>
      </c>
      <c r="D2" s="10">
        <v>46600</v>
      </c>
      <c r="E2" s="9">
        <v>3</v>
      </c>
      <c r="F2" s="11" t="s">
        <v>117</v>
      </c>
      <c r="G2" s="9">
        <v>164</v>
      </c>
      <c r="H2" s="9">
        <v>215.25</v>
      </c>
      <c r="I2" s="9">
        <v>501.1</v>
      </c>
      <c r="J2" s="9">
        <v>30049039</v>
      </c>
      <c r="L2">
        <f>E2*G2</f>
        <v>492</v>
      </c>
    </row>
    <row r="3" spans="1:12">
      <c r="A3" s="8" t="s">
        <v>118</v>
      </c>
      <c r="B3" s="8"/>
      <c r="C3" s="9" t="s">
        <v>119</v>
      </c>
      <c r="D3" s="10">
        <v>46600</v>
      </c>
      <c r="E3" s="9">
        <v>16</v>
      </c>
      <c r="F3" s="9">
        <v>6</v>
      </c>
      <c r="G3" s="9">
        <v>75.52</v>
      </c>
      <c r="H3" s="9">
        <v>99.12</v>
      </c>
      <c r="I3" s="9">
        <v>1230.67</v>
      </c>
      <c r="J3" s="9">
        <v>30042019</v>
      </c>
    </row>
    <row r="4" spans="1:12">
      <c r="A4" s="8" t="s">
        <v>118</v>
      </c>
      <c r="B4" s="8"/>
      <c r="C4" s="9" t="s">
        <v>120</v>
      </c>
      <c r="D4" s="10">
        <v>46600</v>
      </c>
      <c r="E4" s="9">
        <v>14</v>
      </c>
      <c r="F4" s="11" t="s">
        <v>117</v>
      </c>
      <c r="G4" s="9">
        <v>75.52</v>
      </c>
      <c r="H4" s="9">
        <v>99.12</v>
      </c>
      <c r="I4" s="9">
        <v>1076.8399999999999</v>
      </c>
      <c r="J4" s="9">
        <v>30042019</v>
      </c>
    </row>
    <row r="5" spans="1:12">
      <c r="A5" s="8" t="s">
        <v>121</v>
      </c>
      <c r="B5" s="8"/>
      <c r="C5" s="9" t="s">
        <v>122</v>
      </c>
      <c r="D5" s="10">
        <v>46569</v>
      </c>
      <c r="E5" s="9">
        <v>20</v>
      </c>
      <c r="F5" s="9">
        <v>4</v>
      </c>
      <c r="G5" s="9">
        <v>36.659999999999997</v>
      </c>
      <c r="H5" s="9">
        <v>48.11</v>
      </c>
      <c r="I5" s="9">
        <v>746.76</v>
      </c>
      <c r="J5" s="9">
        <v>30049035</v>
      </c>
    </row>
    <row r="6" spans="1:12">
      <c r="A6" s="8" t="s">
        <v>123</v>
      </c>
      <c r="B6" s="8"/>
      <c r="C6" s="9" t="s">
        <v>124</v>
      </c>
      <c r="D6" s="10">
        <v>46631</v>
      </c>
      <c r="E6" s="9">
        <v>30</v>
      </c>
      <c r="F6" s="11" t="s">
        <v>117</v>
      </c>
      <c r="G6" s="9">
        <v>28.28</v>
      </c>
      <c r="H6" s="9">
        <v>37.119999999999997</v>
      </c>
      <c r="I6" s="9">
        <v>864.09</v>
      </c>
      <c r="J6" s="9">
        <v>30045039</v>
      </c>
    </row>
    <row r="7" spans="1:12">
      <c r="A7" s="8" t="s">
        <v>125</v>
      </c>
      <c r="B7" s="8"/>
      <c r="C7" s="9" t="s">
        <v>126</v>
      </c>
      <c r="D7" s="10">
        <v>46997</v>
      </c>
      <c r="E7" s="9">
        <v>67</v>
      </c>
      <c r="F7" s="11" t="s">
        <v>117</v>
      </c>
      <c r="G7" s="9">
        <v>46.64</v>
      </c>
      <c r="H7" s="9">
        <v>61.22</v>
      </c>
      <c r="I7" s="9">
        <v>3182.69</v>
      </c>
      <c r="J7" s="9">
        <v>30049034</v>
      </c>
    </row>
    <row r="8" spans="1:12">
      <c r="A8" s="8" t="s">
        <v>127</v>
      </c>
      <c r="B8" s="8"/>
      <c r="C8" s="9">
        <v>60002503</v>
      </c>
      <c r="D8" s="10">
        <v>47058</v>
      </c>
      <c r="E8" s="9">
        <v>3</v>
      </c>
      <c r="F8" s="11" t="s">
        <v>117</v>
      </c>
      <c r="G8" s="9">
        <v>31.98</v>
      </c>
      <c r="H8" s="9">
        <v>41.97</v>
      </c>
      <c r="I8" s="9">
        <v>97.72</v>
      </c>
      <c r="J8" s="9">
        <v>30049099</v>
      </c>
    </row>
    <row r="9" spans="1:12">
      <c r="A9" s="8" t="s">
        <v>127</v>
      </c>
      <c r="B9" s="8"/>
      <c r="C9" s="9">
        <v>60002489</v>
      </c>
      <c r="D9" s="10">
        <v>47058</v>
      </c>
      <c r="E9" s="9">
        <v>47</v>
      </c>
      <c r="F9" s="11" t="s">
        <v>117</v>
      </c>
      <c r="G9" s="9">
        <v>31.98</v>
      </c>
      <c r="H9" s="9">
        <v>41.97</v>
      </c>
      <c r="I9" s="9">
        <v>1530.87</v>
      </c>
      <c r="J9" s="9">
        <v>30049099</v>
      </c>
    </row>
    <row r="10" spans="1:12">
      <c r="A10" s="8" t="s">
        <v>128</v>
      </c>
      <c r="B10" s="8"/>
      <c r="C10" s="9">
        <v>25510015</v>
      </c>
      <c r="D10" s="10">
        <v>46419</v>
      </c>
      <c r="E10" s="9">
        <v>24</v>
      </c>
      <c r="F10" s="11" t="s">
        <v>117</v>
      </c>
      <c r="G10" s="9">
        <v>251.4</v>
      </c>
      <c r="H10" s="9">
        <v>329.96</v>
      </c>
      <c r="I10" s="9">
        <v>6145.21</v>
      </c>
      <c r="J10" s="9">
        <v>30042049</v>
      </c>
    </row>
    <row r="11" spans="1:12">
      <c r="A11" s="8" t="s">
        <v>129</v>
      </c>
      <c r="B11" s="8"/>
      <c r="C11" s="9">
        <v>25510115</v>
      </c>
      <c r="D11" s="10">
        <v>46569</v>
      </c>
      <c r="E11" s="9">
        <v>10</v>
      </c>
      <c r="F11" s="11" t="s">
        <v>117</v>
      </c>
      <c r="G11" s="9">
        <v>219.19</v>
      </c>
      <c r="H11" s="9">
        <v>287.69</v>
      </c>
      <c r="I11" s="9">
        <v>2232.44</v>
      </c>
      <c r="J11" s="9">
        <v>30042049</v>
      </c>
    </row>
    <row r="12" spans="1:12">
      <c r="A12" s="8" t="s">
        <v>130</v>
      </c>
      <c r="B12" s="8"/>
      <c r="C12" s="9" t="s">
        <v>131</v>
      </c>
      <c r="D12" s="10">
        <v>46419</v>
      </c>
      <c r="E12" s="9">
        <v>3</v>
      </c>
      <c r="F12" s="11" t="s">
        <v>117</v>
      </c>
      <c r="G12" s="9">
        <v>148.57</v>
      </c>
      <c r="H12" s="9">
        <v>195</v>
      </c>
      <c r="I12" s="9">
        <v>453.96</v>
      </c>
      <c r="J12" s="9">
        <v>30049079</v>
      </c>
    </row>
    <row r="13" spans="1:12">
      <c r="A13" s="8" t="s">
        <v>132</v>
      </c>
      <c r="B13" s="8"/>
      <c r="C13" s="9">
        <v>11251016</v>
      </c>
      <c r="D13" s="10">
        <v>46539</v>
      </c>
      <c r="E13" s="9">
        <v>2</v>
      </c>
      <c r="F13" s="11" t="s">
        <v>117</v>
      </c>
      <c r="G13" s="9">
        <v>267.14</v>
      </c>
      <c r="H13" s="9">
        <v>350.63</v>
      </c>
      <c r="I13" s="9">
        <v>544.16999999999996</v>
      </c>
      <c r="J13" s="9">
        <v>30043200</v>
      </c>
    </row>
    <row r="14" spans="1:12">
      <c r="A14" s="8" t="s">
        <v>133</v>
      </c>
      <c r="B14" s="8"/>
      <c r="C14" s="9" t="s">
        <v>134</v>
      </c>
      <c r="D14" s="10">
        <v>46600</v>
      </c>
      <c r="E14" s="9">
        <v>1</v>
      </c>
      <c r="F14" s="11" t="s">
        <v>117</v>
      </c>
      <c r="G14" s="9">
        <v>156.61000000000001</v>
      </c>
      <c r="H14" s="9">
        <v>205.55</v>
      </c>
      <c r="I14" s="9">
        <v>159.51</v>
      </c>
      <c r="J14" s="9">
        <v>21069099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Muralidharan Krishnaraj</dc:creator>
  <cp:keywords/>
  <dc:description/>
  <cp:lastModifiedBy>Muralidharan Krishnaraj</cp:lastModifiedBy>
  <cp:revision/>
  <dcterms:created xsi:type="dcterms:W3CDTF">2026-03-15T01:47:34Z</dcterms:created>
  <dcterms:modified xsi:type="dcterms:W3CDTF">2026-03-17T04:06:56Z</dcterms:modified>
  <cp:category/>
  <cp:contentStatus/>
</cp:coreProperties>
</file>